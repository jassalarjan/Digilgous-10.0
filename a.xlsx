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an/Desktop/Digilgous 10.0/"/>
    </mc:Choice>
  </mc:AlternateContent>
  <xr:revisionPtr revIDLastSave="0" documentId="8_{22D3E97D-E992-6B45-9104-83DC96FE46A6}" xr6:coauthVersionLast="47" xr6:coauthVersionMax="47" xr10:uidLastSave="{00000000-0000-0000-0000-000000000000}"/>
  <bookViews>
    <workbookView xWindow="0" yWindow="500" windowWidth="28800" windowHeight="16020" xr2:uid="{333E2492-0D7B-44FC-ADF0-BE7E6555A941}"/>
  </bookViews>
  <sheets>
    <sheet name="posts" sheetId="2" r:id="rId1"/>
    <sheet name="Sheet2" sheetId="3" r:id="rId2"/>
    <sheet name="Sheet1" sheetId="1" r:id="rId3"/>
  </sheets>
  <definedNames>
    <definedName name="_xlnm._FilterDatabase" localSheetId="0" hidden="1">posts!$A$1:$K$143</definedName>
    <definedName name="ਗਾਵੈ_ਕੋ_ਵੇਖੈ_ਹਾਦਰਾ_ਹਦੂਰਿ">Sheet1!$C$2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3" i="1" l="1" a="1"/>
  <c r="E243" i="1" s="1"/>
  <c r="D243" i="1" a="1"/>
  <c r="D243" i="1" s="1"/>
  <c r="C243" i="1" a="1"/>
  <c r="C243" i="1" s="1"/>
  <c r="E242" i="1" a="1"/>
  <c r="E242" i="1" s="1"/>
  <c r="D242" i="1" a="1"/>
  <c r="D242" i="1" s="1"/>
  <c r="C242" i="1" a="1"/>
  <c r="C242" i="1" s="1"/>
  <c r="E241" i="1" a="1"/>
  <c r="E241" i="1" s="1"/>
  <c r="D241" i="1" a="1"/>
  <c r="D241" i="1" s="1"/>
  <c r="C241" i="1" a="1"/>
  <c r="C241" i="1" s="1"/>
  <c r="E240" i="1" a="1"/>
  <c r="E240" i="1" s="1"/>
  <c r="D240" i="1" a="1"/>
  <c r="D240" i="1" s="1"/>
  <c r="C240" i="1" a="1"/>
  <c r="C240" i="1" s="1"/>
  <c r="E239" i="1" a="1"/>
  <c r="E239" i="1" s="1"/>
  <c r="D239" i="1" a="1"/>
  <c r="D239" i="1" s="1"/>
  <c r="C239" i="1" a="1"/>
  <c r="C239" i="1" s="1"/>
  <c r="E238" i="1" a="1"/>
  <c r="E238" i="1" s="1"/>
  <c r="D238" i="1" a="1"/>
  <c r="D238" i="1" s="1"/>
  <c r="C238" i="1" a="1"/>
  <c r="C238" i="1" s="1"/>
  <c r="E237" i="1" a="1"/>
  <c r="E237" i="1" s="1"/>
  <c r="D237" i="1" a="1"/>
  <c r="D237" i="1" s="1"/>
  <c r="C237" i="1" a="1"/>
  <c r="C237" i="1" s="1"/>
  <c r="E236" i="1" a="1"/>
  <c r="E236" i="1" s="1"/>
  <c r="D236" i="1" a="1"/>
  <c r="D236" i="1" s="1"/>
  <c r="C236" i="1" a="1"/>
  <c r="C236" i="1" s="1"/>
  <c r="E235" i="1" a="1"/>
  <c r="E235" i="1" s="1"/>
  <c r="D235" i="1" a="1"/>
  <c r="D235" i="1" s="1"/>
  <c r="C235" i="1" a="1"/>
  <c r="C235" i="1" s="1"/>
  <c r="E234" i="1" a="1"/>
  <c r="E234" i="1" s="1"/>
  <c r="D234" i="1" a="1"/>
  <c r="D234" i="1" s="1"/>
  <c r="C234" i="1" a="1"/>
  <c r="C234" i="1" s="1"/>
  <c r="E233" i="1" a="1"/>
  <c r="E233" i="1" s="1"/>
  <c r="D233" i="1" a="1"/>
  <c r="D233" i="1" s="1"/>
  <c r="C233" i="1" a="1"/>
  <c r="C233" i="1" s="1"/>
  <c r="E232" i="1" a="1"/>
  <c r="E232" i="1" s="1"/>
  <c r="D232" i="1" a="1"/>
  <c r="D232" i="1" s="1"/>
  <c r="C232" i="1" a="1"/>
  <c r="C232" i="1" s="1"/>
  <c r="E231" i="1" a="1"/>
  <c r="E231" i="1" s="1"/>
  <c r="D231" i="1" a="1"/>
  <c r="D231" i="1" s="1"/>
  <c r="C231" i="1" a="1"/>
  <c r="C231" i="1" s="1"/>
  <c r="E230" i="1" a="1"/>
  <c r="E230" i="1" s="1"/>
  <c r="D230" i="1" a="1"/>
  <c r="D230" i="1" s="1"/>
  <c r="C230" i="1" a="1"/>
  <c r="C230" i="1" s="1"/>
  <c r="E229" i="1" a="1"/>
  <c r="E229" i="1" s="1"/>
  <c r="D229" i="1" a="1"/>
  <c r="D229" i="1" s="1"/>
  <c r="C229" i="1" a="1"/>
  <c r="C229" i="1" s="1"/>
  <c r="E228" i="1" a="1"/>
  <c r="E228" i="1" s="1"/>
  <c r="D228" i="1" a="1"/>
  <c r="D228" i="1" s="1"/>
  <c r="C228" i="1" a="1"/>
  <c r="C228" i="1" s="1"/>
  <c r="E227" i="1" a="1"/>
  <c r="E227" i="1" s="1"/>
  <c r="D227" i="1" a="1"/>
  <c r="D227" i="1" s="1"/>
  <c r="C227" i="1" a="1"/>
  <c r="C227" i="1" s="1"/>
  <c r="E226" i="1" a="1"/>
  <c r="E226" i="1" s="1"/>
  <c r="D226" i="1" a="1"/>
  <c r="D226" i="1" s="1"/>
  <c r="C226" i="1" a="1"/>
  <c r="C226" i="1" s="1"/>
  <c r="E225" i="1" a="1"/>
  <c r="E225" i="1" s="1"/>
  <c r="D225" i="1" a="1"/>
  <c r="D225" i="1" s="1"/>
  <c r="C225" i="1" a="1"/>
  <c r="C225" i="1" s="1"/>
  <c r="E224" i="1" a="1"/>
  <c r="E224" i="1" s="1"/>
  <c r="D224" i="1" a="1"/>
  <c r="D224" i="1" s="1"/>
  <c r="C224" i="1" a="1"/>
  <c r="C224" i="1" s="1"/>
  <c r="E223" i="1" a="1"/>
  <c r="E223" i="1" s="1"/>
  <c r="D223" i="1" a="1"/>
  <c r="D223" i="1" s="1"/>
  <c r="C223" i="1" a="1"/>
  <c r="C223" i="1" s="1"/>
  <c r="E222" i="1" a="1"/>
  <c r="E222" i="1" s="1"/>
  <c r="D222" i="1" a="1"/>
  <c r="D222" i="1" s="1"/>
  <c r="C222" i="1" a="1"/>
  <c r="C222" i="1" s="1"/>
  <c r="E221" i="1" a="1"/>
  <c r="E221" i="1" s="1"/>
  <c r="D221" i="1" a="1"/>
  <c r="D221" i="1" s="1"/>
  <c r="C221" i="1" a="1"/>
  <c r="C221" i="1" s="1"/>
  <c r="E220" i="1" a="1"/>
  <c r="E220" i="1" s="1"/>
  <c r="D220" i="1" a="1"/>
  <c r="D220" i="1" s="1"/>
  <c r="C220" i="1" a="1"/>
  <c r="C220" i="1" s="1"/>
  <c r="E219" i="1" a="1"/>
  <c r="E219" i="1" s="1"/>
  <c r="D219" i="1" a="1"/>
  <c r="D219" i="1" s="1"/>
  <c r="C219" i="1" a="1"/>
  <c r="C219" i="1" s="1"/>
  <c r="E218" i="1" a="1"/>
  <c r="E218" i="1" s="1"/>
  <c r="D218" i="1" a="1"/>
  <c r="D218" i="1" s="1"/>
  <c r="C218" i="1" a="1"/>
  <c r="C218" i="1" s="1"/>
  <c r="E217" i="1" a="1"/>
  <c r="E217" i="1" s="1"/>
  <c r="D217" i="1" a="1"/>
  <c r="D217" i="1" s="1"/>
  <c r="C217" i="1" a="1"/>
  <c r="C217" i="1" s="1"/>
  <c r="E216" i="1" a="1"/>
  <c r="E216" i="1" s="1"/>
  <c r="D216" i="1" a="1"/>
  <c r="D216" i="1" s="1"/>
  <c r="C216" i="1" a="1"/>
  <c r="C216" i="1" s="1"/>
  <c r="E215" i="1" a="1"/>
  <c r="E215" i="1" s="1"/>
  <c r="D215" i="1" a="1"/>
  <c r="D215" i="1" s="1"/>
  <c r="C215" i="1" a="1"/>
  <c r="C215" i="1" s="1"/>
  <c r="E214" i="1" a="1"/>
  <c r="E214" i="1" s="1"/>
  <c r="D214" i="1" a="1"/>
  <c r="D214" i="1" s="1"/>
  <c r="C214" i="1" a="1"/>
  <c r="C214" i="1" s="1"/>
  <c r="E213" i="1" a="1"/>
  <c r="E213" i="1" s="1"/>
  <c r="D213" i="1" a="1"/>
  <c r="D213" i="1" s="1"/>
  <c r="C213" i="1" a="1"/>
  <c r="C213" i="1" s="1"/>
  <c r="E212" i="1" a="1"/>
  <c r="E212" i="1" s="1"/>
  <c r="D212" i="1" a="1"/>
  <c r="D212" i="1" s="1"/>
  <c r="C212" i="1" a="1"/>
  <c r="C212" i="1" s="1"/>
  <c r="E211" i="1" a="1"/>
  <c r="E211" i="1" s="1"/>
  <c r="D211" i="1" a="1"/>
  <c r="D211" i="1" s="1"/>
  <c r="C211" i="1" a="1"/>
  <c r="C211" i="1" s="1"/>
  <c r="E210" i="1" a="1"/>
  <c r="E210" i="1" s="1"/>
  <c r="D210" i="1" a="1"/>
  <c r="D210" i="1" s="1"/>
  <c r="C210" i="1" a="1"/>
  <c r="C210" i="1" s="1"/>
  <c r="E209" i="1" a="1"/>
  <c r="E209" i="1" s="1"/>
  <c r="D209" i="1" a="1"/>
  <c r="D209" i="1" s="1"/>
  <c r="C209" i="1" a="1"/>
  <c r="C209" i="1" s="1"/>
  <c r="E208" i="1" a="1"/>
  <c r="E208" i="1" s="1"/>
  <c r="D208" i="1" a="1"/>
  <c r="D208" i="1" s="1"/>
  <c r="C208" i="1" a="1"/>
  <c r="C208" i="1" s="1"/>
  <c r="E207" i="1" a="1"/>
  <c r="E207" i="1" s="1"/>
  <c r="D207" i="1" a="1"/>
  <c r="D207" i="1" s="1"/>
  <c r="C207" i="1" a="1"/>
  <c r="C207" i="1" s="1"/>
  <c r="E206" i="1" a="1"/>
  <c r="E206" i="1" s="1"/>
  <c r="D206" i="1" a="1"/>
  <c r="D206" i="1" s="1"/>
  <c r="C206" i="1" a="1"/>
  <c r="C206" i="1" s="1"/>
  <c r="E205" i="1" a="1"/>
  <c r="E205" i="1" s="1"/>
  <c r="D205" i="1" a="1"/>
  <c r="D205" i="1" s="1"/>
  <c r="C205" i="1" a="1"/>
  <c r="C205" i="1" s="1"/>
  <c r="E204" i="1" a="1"/>
  <c r="E204" i="1" s="1"/>
  <c r="D204" i="1" a="1"/>
  <c r="D204" i="1" s="1"/>
  <c r="C204" i="1" a="1"/>
  <c r="C204" i="1" s="1"/>
  <c r="E203" i="1" a="1"/>
  <c r="E203" i="1" s="1"/>
  <c r="D203" i="1" a="1"/>
  <c r="D203" i="1" s="1"/>
  <c r="C203" i="1" a="1"/>
  <c r="C203" i="1" s="1"/>
  <c r="E202" i="1" a="1"/>
  <c r="E202" i="1" s="1"/>
  <c r="D202" i="1" a="1"/>
  <c r="D202" i="1" s="1"/>
  <c r="C202" i="1" a="1"/>
  <c r="C202" i="1" s="1"/>
  <c r="E201" i="1" a="1"/>
  <c r="E201" i="1" s="1"/>
  <c r="D201" i="1" a="1"/>
  <c r="D201" i="1" s="1"/>
  <c r="C201" i="1" a="1"/>
  <c r="C201" i="1" s="1"/>
  <c r="E200" i="1" a="1"/>
  <c r="E200" i="1" s="1"/>
  <c r="D200" i="1" a="1"/>
  <c r="D200" i="1" s="1"/>
  <c r="C200" i="1" a="1"/>
  <c r="C200" i="1" s="1"/>
  <c r="E199" i="1" a="1"/>
  <c r="E199" i="1" s="1"/>
  <c r="D199" i="1" a="1"/>
  <c r="D199" i="1" s="1"/>
  <c r="C199" i="1" a="1"/>
  <c r="C199" i="1" s="1"/>
  <c r="E198" i="1" a="1"/>
  <c r="E198" i="1" s="1"/>
  <c r="D198" i="1" a="1"/>
  <c r="D198" i="1" s="1"/>
  <c r="C198" i="1" a="1"/>
  <c r="C198" i="1" s="1"/>
  <c r="E197" i="1" a="1"/>
  <c r="E197" i="1" s="1"/>
  <c r="D197" i="1" a="1"/>
  <c r="D197" i="1" s="1"/>
  <c r="C197" i="1" a="1"/>
  <c r="C197" i="1" s="1"/>
  <c r="E196" i="1" a="1"/>
  <c r="E196" i="1" s="1"/>
  <c r="D196" i="1" a="1"/>
  <c r="D196" i="1" s="1"/>
  <c r="C196" i="1" a="1"/>
  <c r="C196" i="1" s="1"/>
  <c r="E195" i="1" a="1"/>
  <c r="E195" i="1" s="1"/>
  <c r="D195" i="1" a="1"/>
  <c r="D195" i="1" s="1"/>
  <c r="C195" i="1" a="1"/>
  <c r="C195" i="1" s="1"/>
  <c r="E194" i="1" a="1"/>
  <c r="E194" i="1" s="1"/>
  <c r="D194" i="1" a="1"/>
  <c r="D194" i="1" s="1"/>
  <c r="C194" i="1" a="1"/>
  <c r="C194" i="1" s="1"/>
  <c r="E193" i="1" a="1"/>
  <c r="E193" i="1" s="1"/>
  <c r="D193" i="1" a="1"/>
  <c r="D193" i="1" s="1"/>
  <c r="C193" i="1" a="1"/>
  <c r="C193" i="1" s="1"/>
  <c r="E192" i="1" a="1"/>
  <c r="E192" i="1" s="1"/>
  <c r="D192" i="1" a="1"/>
  <c r="D192" i="1" s="1"/>
  <c r="C192" i="1" a="1"/>
  <c r="C192" i="1" s="1"/>
  <c r="E191" i="1" a="1"/>
  <c r="E191" i="1" s="1"/>
  <c r="D191" i="1" a="1"/>
  <c r="D191" i="1" s="1"/>
  <c r="C191" i="1" a="1"/>
  <c r="C191" i="1" s="1"/>
  <c r="E190" i="1" a="1"/>
  <c r="E190" i="1" s="1"/>
  <c r="D190" i="1" a="1"/>
  <c r="D190" i="1" s="1"/>
  <c r="C190" i="1" a="1"/>
  <c r="C190" i="1" s="1"/>
  <c r="E189" i="1" a="1"/>
  <c r="E189" i="1" s="1"/>
  <c r="D189" i="1" a="1"/>
  <c r="D189" i="1" s="1"/>
  <c r="C189" i="1" a="1"/>
  <c r="C189" i="1" s="1"/>
  <c r="E188" i="1" a="1"/>
  <c r="E188" i="1" s="1"/>
  <c r="D188" i="1" a="1"/>
  <c r="D188" i="1" s="1"/>
  <c r="C188" i="1" a="1"/>
  <c r="C188" i="1" s="1"/>
  <c r="E187" i="1" a="1"/>
  <c r="E187" i="1" s="1"/>
  <c r="D187" i="1" a="1"/>
  <c r="D187" i="1" s="1"/>
  <c r="C187" i="1" a="1"/>
  <c r="C187" i="1" s="1"/>
  <c r="E186" i="1" a="1"/>
  <c r="E186" i="1" s="1"/>
  <c r="D186" i="1" a="1"/>
  <c r="D186" i="1" s="1"/>
  <c r="C186" i="1" a="1"/>
  <c r="C186" i="1" s="1"/>
  <c r="E185" i="1" a="1"/>
  <c r="E185" i="1" s="1"/>
  <c r="D185" i="1" a="1"/>
  <c r="D185" i="1" s="1"/>
  <c r="C185" i="1" a="1"/>
  <c r="C185" i="1" s="1"/>
  <c r="E184" i="1" a="1"/>
  <c r="E184" i="1" s="1"/>
  <c r="D184" i="1" a="1"/>
  <c r="D184" i="1" s="1"/>
  <c r="C184" i="1" a="1"/>
  <c r="C184" i="1" s="1"/>
  <c r="E183" i="1" a="1"/>
  <c r="E183" i="1" s="1"/>
  <c r="D183" i="1" a="1"/>
  <c r="D183" i="1" s="1"/>
  <c r="C183" i="1" a="1"/>
  <c r="C183" i="1" s="1"/>
  <c r="E182" i="1" a="1"/>
  <c r="E182" i="1" s="1"/>
  <c r="D182" i="1" a="1"/>
  <c r="D182" i="1" s="1"/>
  <c r="C182" i="1" a="1"/>
  <c r="C182" i="1" s="1"/>
  <c r="E181" i="1" a="1"/>
  <c r="E181" i="1" s="1"/>
  <c r="D181" i="1" a="1"/>
  <c r="D181" i="1" s="1"/>
  <c r="C181" i="1" a="1"/>
  <c r="C181" i="1" s="1"/>
  <c r="E180" i="1" a="1"/>
  <c r="E180" i="1" s="1"/>
  <c r="D180" i="1" a="1"/>
  <c r="D180" i="1" s="1"/>
  <c r="C180" i="1" a="1"/>
  <c r="C180" i="1" s="1"/>
  <c r="E179" i="1" a="1"/>
  <c r="E179" i="1" s="1"/>
  <c r="D179" i="1" a="1"/>
  <c r="D179" i="1" s="1"/>
  <c r="C179" i="1" a="1"/>
  <c r="C179" i="1" s="1"/>
  <c r="E178" i="1" a="1"/>
  <c r="E178" i="1" s="1"/>
  <c r="D178" i="1" a="1"/>
  <c r="D178" i="1" s="1"/>
  <c r="C178" i="1" a="1"/>
  <c r="C178" i="1" s="1"/>
  <c r="E177" i="1" a="1"/>
  <c r="E177" i="1" s="1"/>
  <c r="D177" i="1" a="1"/>
  <c r="D177" i="1" s="1"/>
  <c r="C177" i="1" a="1"/>
  <c r="C177" i="1" s="1"/>
  <c r="E176" i="1" a="1"/>
  <c r="E176" i="1" s="1"/>
  <c r="D176" i="1" a="1"/>
  <c r="D176" i="1" s="1"/>
  <c r="C176" i="1" a="1"/>
  <c r="C176" i="1" s="1"/>
  <c r="E175" i="1" a="1"/>
  <c r="E175" i="1" s="1"/>
  <c r="D175" i="1" a="1"/>
  <c r="D175" i="1" s="1"/>
  <c r="C175" i="1" a="1"/>
  <c r="C175" i="1" s="1"/>
  <c r="E174" i="1" a="1"/>
  <c r="E174" i="1" s="1"/>
  <c r="D174" i="1" a="1"/>
  <c r="D174" i="1" s="1"/>
  <c r="C174" i="1" a="1"/>
  <c r="C174" i="1" s="1"/>
  <c r="E173" i="1" a="1"/>
  <c r="E173" i="1" s="1"/>
  <c r="D173" i="1" a="1"/>
  <c r="D173" i="1" s="1"/>
  <c r="C173" i="1" a="1"/>
  <c r="C173" i="1" s="1"/>
  <c r="E172" i="1" a="1"/>
  <c r="E172" i="1" s="1"/>
  <c r="D172" i="1" a="1"/>
  <c r="D172" i="1" s="1"/>
  <c r="C172" i="1" a="1"/>
  <c r="C172" i="1" s="1"/>
  <c r="E171" i="1" a="1"/>
  <c r="E171" i="1" s="1"/>
  <c r="D171" i="1" a="1"/>
  <c r="D171" i="1" s="1"/>
  <c r="C171" i="1" a="1"/>
  <c r="C171" i="1" s="1"/>
  <c r="E170" i="1" a="1"/>
  <c r="E170" i="1" s="1"/>
  <c r="D170" i="1" a="1"/>
  <c r="D170" i="1" s="1"/>
  <c r="C170" i="1" a="1"/>
  <c r="C170" i="1" s="1"/>
  <c r="E169" i="1" a="1"/>
  <c r="E169" i="1" s="1"/>
  <c r="D169" i="1" a="1"/>
  <c r="D169" i="1" s="1"/>
  <c r="C169" i="1" a="1"/>
  <c r="C169" i="1" s="1"/>
  <c r="E168" i="1" a="1"/>
  <c r="E168" i="1" s="1"/>
  <c r="D168" i="1" a="1"/>
  <c r="D168" i="1" s="1"/>
  <c r="C168" i="1" a="1"/>
  <c r="C168" i="1" s="1"/>
  <c r="E167" i="1" a="1"/>
  <c r="E167" i="1" s="1"/>
  <c r="D167" i="1" a="1"/>
  <c r="D167" i="1" s="1"/>
  <c r="C167" i="1" a="1"/>
  <c r="C167" i="1" s="1"/>
  <c r="E166" i="1" a="1"/>
  <c r="E166" i="1" s="1"/>
  <c r="D166" i="1" a="1"/>
  <c r="D166" i="1" s="1"/>
  <c r="C166" i="1" a="1"/>
  <c r="C166" i="1" s="1"/>
  <c r="E165" i="1" a="1"/>
  <c r="E165" i="1" s="1"/>
  <c r="D165" i="1" a="1"/>
  <c r="D165" i="1" s="1"/>
  <c r="C165" i="1" a="1"/>
  <c r="C165" i="1" s="1"/>
  <c r="E164" i="1" a="1"/>
  <c r="E164" i="1" s="1"/>
  <c r="D164" i="1" a="1"/>
  <c r="D164" i="1" s="1"/>
  <c r="C164" i="1" a="1"/>
  <c r="C164" i="1" s="1"/>
  <c r="E163" i="1" a="1"/>
  <c r="E163" i="1" s="1"/>
  <c r="D163" i="1" a="1"/>
  <c r="D163" i="1" s="1"/>
  <c r="C163" i="1" a="1"/>
  <c r="C163" i="1" s="1"/>
  <c r="E162" i="1" a="1"/>
  <c r="E162" i="1" s="1"/>
  <c r="D162" i="1" a="1"/>
  <c r="D162" i="1" s="1"/>
  <c r="C162" i="1" a="1"/>
  <c r="C162" i="1" s="1"/>
  <c r="E161" i="1" a="1"/>
  <c r="E161" i="1" s="1"/>
  <c r="D161" i="1" a="1"/>
  <c r="D161" i="1" s="1"/>
  <c r="C161" i="1" a="1"/>
  <c r="C161" i="1" s="1"/>
  <c r="E160" i="1" a="1"/>
  <c r="E160" i="1" s="1"/>
  <c r="D160" i="1" a="1"/>
  <c r="D160" i="1" s="1"/>
  <c r="C160" i="1" a="1"/>
  <c r="C160" i="1" s="1"/>
  <c r="E159" i="1" a="1"/>
  <c r="E159" i="1" s="1"/>
  <c r="D159" i="1" a="1"/>
  <c r="D159" i="1" s="1"/>
  <c r="C159" i="1" a="1"/>
  <c r="C159" i="1" s="1"/>
  <c r="E158" i="1" a="1"/>
  <c r="E158" i="1" s="1"/>
  <c r="D158" i="1" a="1"/>
  <c r="D158" i="1" s="1"/>
  <c r="C158" i="1" a="1"/>
  <c r="C158" i="1" s="1"/>
  <c r="E157" i="1" a="1"/>
  <c r="E157" i="1" s="1"/>
  <c r="D157" i="1" a="1"/>
  <c r="D157" i="1" s="1"/>
  <c r="C157" i="1" a="1"/>
  <c r="C157" i="1" s="1"/>
  <c r="E156" i="1" a="1"/>
  <c r="E156" i="1" s="1"/>
  <c r="D156" i="1" a="1"/>
  <c r="D156" i="1" s="1"/>
  <c r="C156" i="1" a="1"/>
  <c r="C156" i="1" s="1"/>
  <c r="E155" i="1" a="1"/>
  <c r="E155" i="1" s="1"/>
  <c r="D155" i="1" a="1"/>
  <c r="D155" i="1" s="1"/>
  <c r="C155" i="1" a="1"/>
  <c r="C155" i="1" s="1"/>
  <c r="E154" i="1" a="1"/>
  <c r="E154" i="1" s="1"/>
  <c r="D154" i="1" a="1"/>
  <c r="D154" i="1" s="1"/>
  <c r="C154" i="1" a="1"/>
  <c r="C154" i="1" s="1"/>
  <c r="E153" i="1" a="1"/>
  <c r="E153" i="1" s="1"/>
  <c r="D153" i="1" a="1"/>
  <c r="D153" i="1" s="1"/>
  <c r="C153" i="1" a="1"/>
  <c r="C153" i="1" s="1"/>
  <c r="E152" i="1" a="1"/>
  <c r="E152" i="1" s="1"/>
  <c r="D152" i="1" a="1"/>
  <c r="D152" i="1" s="1"/>
  <c r="C152" i="1" a="1"/>
  <c r="C152" i="1" s="1"/>
  <c r="E151" i="1" a="1"/>
  <c r="E151" i="1" s="1"/>
  <c r="D151" i="1" a="1"/>
  <c r="D151" i="1" s="1"/>
  <c r="C151" i="1" a="1"/>
  <c r="C151" i="1" s="1"/>
  <c r="E150" i="1" a="1"/>
  <c r="E150" i="1" s="1"/>
  <c r="D150" i="1" a="1"/>
  <c r="D150" i="1" s="1"/>
  <c r="C150" i="1" a="1"/>
  <c r="C150" i="1" s="1"/>
  <c r="E149" i="1" a="1"/>
  <c r="E149" i="1" s="1"/>
  <c r="D149" i="1" a="1"/>
  <c r="D149" i="1" s="1"/>
  <c r="C149" i="1" a="1"/>
  <c r="C149" i="1" s="1"/>
  <c r="E148" i="1" a="1"/>
  <c r="E148" i="1" s="1"/>
  <c r="D148" i="1" a="1"/>
  <c r="D148" i="1" s="1"/>
  <c r="C148" i="1" a="1"/>
  <c r="C148" i="1" s="1"/>
  <c r="E147" i="1" a="1"/>
  <c r="E147" i="1" s="1"/>
  <c r="D147" i="1" a="1"/>
  <c r="D147" i="1" s="1"/>
  <c r="C147" i="1" a="1"/>
  <c r="C147" i="1" s="1"/>
  <c r="E146" i="1" a="1"/>
  <c r="E146" i="1" s="1"/>
  <c r="D146" i="1" a="1"/>
  <c r="D146" i="1" s="1"/>
  <c r="C146" i="1" a="1"/>
  <c r="C146" i="1" s="1"/>
  <c r="E145" i="1" a="1"/>
  <c r="E145" i="1" s="1"/>
  <c r="D145" i="1" a="1"/>
  <c r="D145" i="1" s="1"/>
  <c r="C145" i="1" a="1"/>
  <c r="C145" i="1" s="1"/>
  <c r="E144" i="1" a="1"/>
  <c r="E144" i="1" s="1"/>
  <c r="D144" i="1" a="1"/>
  <c r="D144" i="1" s="1"/>
  <c r="C144" i="1" a="1"/>
  <c r="C144" i="1" s="1"/>
  <c r="E143" i="1" a="1"/>
  <c r="E143" i="1" s="1"/>
  <c r="D143" i="1" a="1"/>
  <c r="D143" i="1" s="1"/>
  <c r="C143" i="1" a="1"/>
  <c r="C143" i="1" s="1"/>
  <c r="E142" i="1" a="1"/>
  <c r="E142" i="1" s="1"/>
  <c r="D142" i="1" a="1"/>
  <c r="D142" i="1" s="1"/>
  <c r="C142" i="1" a="1"/>
  <c r="C142" i="1" s="1"/>
  <c r="E141" i="1" a="1"/>
  <c r="E141" i="1" s="1"/>
  <c r="D141" i="1" a="1"/>
  <c r="D141" i="1" s="1"/>
  <c r="C141" i="1" a="1"/>
  <c r="C141" i="1" s="1"/>
  <c r="E140" i="1" a="1"/>
  <c r="E140" i="1" s="1"/>
  <c r="D140" i="1" a="1"/>
  <c r="D140" i="1" s="1"/>
  <c r="C140" i="1" a="1"/>
  <c r="C140" i="1" s="1"/>
  <c r="E139" i="1" a="1"/>
  <c r="E139" i="1" s="1"/>
  <c r="D139" i="1" a="1"/>
  <c r="D139" i="1" s="1"/>
  <c r="C139" i="1" a="1"/>
  <c r="C139" i="1" s="1"/>
  <c r="E138" i="1" a="1"/>
  <c r="E138" i="1" s="1"/>
  <c r="D138" i="1" a="1"/>
  <c r="D138" i="1" s="1"/>
  <c r="C138" i="1" a="1"/>
  <c r="C138" i="1" s="1"/>
  <c r="E137" i="1" a="1"/>
  <c r="E137" i="1" s="1"/>
  <c r="D137" i="1" a="1"/>
  <c r="D137" i="1" s="1"/>
  <c r="C137" i="1" a="1"/>
  <c r="C137" i="1" s="1"/>
  <c r="E136" i="1" a="1"/>
  <c r="E136" i="1" s="1"/>
  <c r="D136" i="1" a="1"/>
  <c r="D136" i="1" s="1"/>
  <c r="C136" i="1" a="1"/>
  <c r="C136" i="1" s="1"/>
  <c r="E135" i="1" a="1"/>
  <c r="E135" i="1" s="1"/>
  <c r="D135" i="1" a="1"/>
  <c r="D135" i="1" s="1"/>
  <c r="C135" i="1" a="1"/>
  <c r="C135" i="1" s="1"/>
  <c r="E134" i="1" a="1"/>
  <c r="E134" i="1" s="1"/>
  <c r="D134" i="1" a="1"/>
  <c r="D134" i="1" s="1"/>
  <c r="C134" i="1" a="1"/>
  <c r="C134" i="1" s="1"/>
  <c r="E133" i="1" a="1"/>
  <c r="E133" i="1" s="1"/>
  <c r="D133" i="1" a="1"/>
  <c r="D133" i="1" s="1"/>
  <c r="C133" i="1" a="1"/>
  <c r="C133" i="1" s="1"/>
  <c r="E132" i="1" a="1"/>
  <c r="E132" i="1" s="1"/>
  <c r="D132" i="1" a="1"/>
  <c r="D132" i="1" s="1"/>
  <c r="C132" i="1" a="1"/>
  <c r="C132" i="1" s="1"/>
  <c r="E131" i="1" a="1"/>
  <c r="E131" i="1" s="1"/>
  <c r="D131" i="1" a="1"/>
  <c r="D131" i="1" s="1"/>
  <c r="C131" i="1" a="1"/>
  <c r="C131" i="1" s="1"/>
  <c r="E130" i="1" a="1"/>
  <c r="E130" i="1" s="1"/>
  <c r="D130" i="1" a="1"/>
  <c r="D130" i="1" s="1"/>
  <c r="C130" i="1" a="1"/>
  <c r="C130" i="1" s="1"/>
  <c r="E129" i="1" a="1"/>
  <c r="E129" i="1" s="1"/>
  <c r="D129" i="1" a="1"/>
  <c r="D129" i="1" s="1"/>
  <c r="C129" i="1" a="1"/>
  <c r="C129" i="1" s="1"/>
  <c r="E128" i="1" a="1"/>
  <c r="E128" i="1" s="1"/>
  <c r="D128" i="1" a="1"/>
  <c r="D128" i="1" s="1"/>
  <c r="C128" i="1" a="1"/>
  <c r="C128" i="1" s="1"/>
  <c r="E127" i="1" a="1"/>
  <c r="E127" i="1" s="1"/>
  <c r="D127" i="1" a="1"/>
  <c r="D127" i="1" s="1"/>
  <c r="C127" i="1" a="1"/>
  <c r="C127" i="1" s="1"/>
  <c r="E126" i="1" a="1"/>
  <c r="E126" i="1" s="1"/>
  <c r="D126" i="1" a="1"/>
  <c r="D126" i="1" s="1"/>
  <c r="C126" i="1" a="1"/>
  <c r="C126" i="1" s="1"/>
  <c r="E125" i="1" a="1"/>
  <c r="E125" i="1" s="1"/>
  <c r="D125" i="1" a="1"/>
  <c r="D125" i="1" s="1"/>
  <c r="C125" i="1" a="1"/>
  <c r="C125" i="1" s="1"/>
  <c r="E124" i="1" a="1"/>
  <c r="E124" i="1" s="1"/>
  <c r="D124" i="1" a="1"/>
  <c r="D124" i="1" s="1"/>
  <c r="C124" i="1" a="1"/>
  <c r="C124" i="1" s="1"/>
  <c r="E123" i="1" a="1"/>
  <c r="E123" i="1" s="1"/>
  <c r="D123" i="1" a="1"/>
  <c r="D123" i="1" s="1"/>
  <c r="C123" i="1" a="1"/>
  <c r="C123" i="1" s="1"/>
  <c r="E122" i="1" a="1"/>
  <c r="E122" i="1" s="1"/>
  <c r="D122" i="1" a="1"/>
  <c r="D122" i="1" s="1"/>
  <c r="C122" i="1" a="1"/>
  <c r="C122" i="1" s="1"/>
  <c r="E121" i="1" a="1"/>
  <c r="E121" i="1" s="1"/>
  <c r="D121" i="1" a="1"/>
  <c r="D121" i="1" s="1"/>
  <c r="C121" i="1" a="1"/>
  <c r="C121" i="1" s="1"/>
  <c r="E120" i="1" a="1"/>
  <c r="E120" i="1" s="1"/>
  <c r="D120" i="1" a="1"/>
  <c r="D120" i="1" s="1"/>
  <c r="C120" i="1" a="1"/>
  <c r="C120" i="1" s="1"/>
  <c r="E119" i="1" a="1"/>
  <c r="E119" i="1" s="1"/>
  <c r="D119" i="1" a="1"/>
  <c r="D119" i="1" s="1"/>
  <c r="C119" i="1" a="1"/>
  <c r="C119" i="1" s="1"/>
  <c r="E118" i="1" a="1"/>
  <c r="E118" i="1" s="1"/>
  <c r="D118" i="1" a="1"/>
  <c r="D118" i="1" s="1"/>
  <c r="C118" i="1" a="1"/>
  <c r="C118" i="1" s="1"/>
  <c r="E117" i="1" a="1"/>
  <c r="E117" i="1" s="1"/>
  <c r="D117" i="1" a="1"/>
  <c r="D117" i="1" s="1"/>
  <c r="C117" i="1" a="1"/>
  <c r="C117" i="1" s="1"/>
  <c r="E116" i="1" a="1"/>
  <c r="E116" i="1" s="1"/>
  <c r="D116" i="1" a="1"/>
  <c r="D116" i="1" s="1"/>
  <c r="C116" i="1" a="1"/>
  <c r="C116" i="1" s="1"/>
  <c r="E115" i="1" a="1"/>
  <c r="E115" i="1" s="1"/>
  <c r="D115" i="1" a="1"/>
  <c r="D115" i="1" s="1"/>
  <c r="C115" i="1" a="1"/>
  <c r="C115" i="1" s="1"/>
  <c r="E114" i="1" a="1"/>
  <c r="E114" i="1" s="1"/>
  <c r="D114" i="1" a="1"/>
  <c r="D114" i="1" s="1"/>
  <c r="C114" i="1" a="1"/>
  <c r="C114" i="1" s="1"/>
  <c r="E113" i="1" a="1"/>
  <c r="E113" i="1" s="1"/>
  <c r="D113" i="1" a="1"/>
  <c r="D113" i="1" s="1"/>
  <c r="C113" i="1" a="1"/>
  <c r="C113" i="1" s="1"/>
  <c r="E112" i="1" a="1"/>
  <c r="E112" i="1" s="1"/>
  <c r="D112" i="1" a="1"/>
  <c r="D112" i="1" s="1"/>
  <c r="C112" i="1" a="1"/>
  <c r="C112" i="1" s="1"/>
  <c r="E111" i="1" a="1"/>
  <c r="E111" i="1" s="1"/>
  <c r="D111" i="1" a="1"/>
  <c r="D111" i="1" s="1"/>
  <c r="C111" i="1" a="1"/>
  <c r="C111" i="1" s="1"/>
  <c r="E110" i="1" a="1"/>
  <c r="E110" i="1" s="1"/>
  <c r="D110" i="1" a="1"/>
  <c r="D110" i="1" s="1"/>
  <c r="C110" i="1" a="1"/>
  <c r="C110" i="1" s="1"/>
  <c r="E109" i="1" a="1"/>
  <c r="E109" i="1" s="1"/>
  <c r="D109" i="1" a="1"/>
  <c r="D109" i="1" s="1"/>
  <c r="C109" i="1" a="1"/>
  <c r="C109" i="1" s="1"/>
  <c r="E108" i="1" a="1"/>
  <c r="E108" i="1" s="1"/>
  <c r="D108" i="1" a="1"/>
  <c r="D108" i="1" s="1"/>
  <c r="C108" i="1" a="1"/>
  <c r="C108" i="1" s="1"/>
  <c r="E107" i="1" a="1"/>
  <c r="E107" i="1" s="1"/>
  <c r="D107" i="1" a="1"/>
  <c r="D107" i="1" s="1"/>
  <c r="C107" i="1" a="1"/>
  <c r="C107" i="1" s="1"/>
  <c r="E106" i="1" a="1"/>
  <c r="E106" i="1" s="1"/>
  <c r="D106" i="1" a="1"/>
  <c r="D106" i="1" s="1"/>
  <c r="C106" i="1" a="1"/>
  <c r="C106" i="1" s="1"/>
  <c r="E105" i="1" a="1"/>
  <c r="E105" i="1" s="1"/>
  <c r="D105" i="1" a="1"/>
  <c r="D105" i="1" s="1"/>
  <c r="C105" i="1" a="1"/>
  <c r="C105" i="1" s="1"/>
  <c r="E104" i="1" a="1"/>
  <c r="E104" i="1" s="1"/>
  <c r="D104" i="1" a="1"/>
  <c r="D104" i="1" s="1"/>
  <c r="C104" i="1" a="1"/>
  <c r="C104" i="1" s="1"/>
  <c r="E103" i="1" a="1"/>
  <c r="E103" i="1" s="1"/>
  <c r="D103" i="1" a="1"/>
  <c r="D103" i="1" s="1"/>
  <c r="C103" i="1" a="1"/>
  <c r="C103" i="1" s="1"/>
  <c r="E102" i="1" a="1"/>
  <c r="E102" i="1" s="1"/>
  <c r="D102" i="1" a="1"/>
  <c r="D102" i="1" s="1"/>
  <c r="C102" i="1" a="1"/>
  <c r="C102" i="1" s="1"/>
  <c r="E101" i="1" a="1"/>
  <c r="E101" i="1" s="1"/>
  <c r="D101" i="1" a="1"/>
  <c r="D101" i="1" s="1"/>
  <c r="C101" i="1" a="1"/>
  <c r="C101" i="1" s="1"/>
  <c r="E100" i="1" a="1"/>
  <c r="E100" i="1" s="1"/>
  <c r="D100" i="1" a="1"/>
  <c r="D100" i="1" s="1"/>
  <c r="C100" i="1" a="1"/>
  <c r="C100" i="1" s="1"/>
  <c r="E99" i="1" a="1"/>
  <c r="E99" i="1" s="1"/>
  <c r="D99" i="1" a="1"/>
  <c r="D99" i="1" s="1"/>
  <c r="C99" i="1" a="1"/>
  <c r="C99" i="1" s="1"/>
  <c r="E98" i="1" a="1"/>
  <c r="E98" i="1" s="1"/>
  <c r="D98" i="1" a="1"/>
  <c r="D98" i="1" s="1"/>
  <c r="C98" i="1" a="1"/>
  <c r="C98" i="1" s="1"/>
  <c r="E97" i="1" a="1"/>
  <c r="E97" i="1" s="1"/>
  <c r="D97" i="1" a="1"/>
  <c r="D97" i="1" s="1"/>
  <c r="C97" i="1" a="1"/>
  <c r="C97" i="1" s="1"/>
  <c r="E96" i="1" a="1"/>
  <c r="E96" i="1" s="1"/>
  <c r="D96" i="1" a="1"/>
  <c r="D96" i="1" s="1"/>
  <c r="C96" i="1" a="1"/>
  <c r="C96" i="1" s="1"/>
  <c r="E95" i="1" a="1"/>
  <c r="E95" i="1" s="1"/>
  <c r="D95" i="1" a="1"/>
  <c r="D95" i="1" s="1"/>
  <c r="C95" i="1" a="1"/>
  <c r="C95" i="1" s="1"/>
  <c r="E94" i="1" a="1"/>
  <c r="E94" i="1" s="1"/>
  <c r="D94" i="1" a="1"/>
  <c r="D94" i="1" s="1"/>
  <c r="C94" i="1" a="1"/>
  <c r="C94" i="1" s="1"/>
  <c r="E93" i="1" a="1"/>
  <c r="E93" i="1" s="1"/>
  <c r="D93" i="1" a="1"/>
  <c r="D93" i="1" s="1"/>
  <c r="C93" i="1" a="1"/>
  <c r="C93" i="1" s="1"/>
  <c r="E92" i="1" a="1"/>
  <c r="E92" i="1" s="1"/>
  <c r="D92" i="1" a="1"/>
  <c r="D92" i="1" s="1"/>
  <c r="C92" i="1" a="1"/>
  <c r="C92" i="1" s="1"/>
  <c r="E91" i="1" a="1"/>
  <c r="E91" i="1" s="1"/>
  <c r="D91" i="1" a="1"/>
  <c r="D91" i="1" s="1"/>
  <c r="C91" i="1" a="1"/>
  <c r="C91" i="1" s="1"/>
  <c r="E90" i="1" a="1"/>
  <c r="E90" i="1" s="1"/>
  <c r="D90" i="1" a="1"/>
  <c r="D90" i="1" s="1"/>
  <c r="C90" i="1" a="1"/>
  <c r="C90" i="1" s="1"/>
  <c r="E89" i="1" a="1"/>
  <c r="E89" i="1" s="1"/>
  <c r="D89" i="1" a="1"/>
  <c r="D89" i="1" s="1"/>
  <c r="C89" i="1" a="1"/>
  <c r="C89" i="1" s="1"/>
  <c r="E88" i="1" a="1"/>
  <c r="E88" i="1" s="1"/>
  <c r="D88" i="1" a="1"/>
  <c r="D88" i="1" s="1"/>
  <c r="C88" i="1" a="1"/>
  <c r="C88" i="1" s="1"/>
  <c r="E87" i="1" a="1"/>
  <c r="E87" i="1" s="1"/>
  <c r="D87" i="1" a="1"/>
  <c r="D87" i="1" s="1"/>
  <c r="C87" i="1" a="1"/>
  <c r="C87" i="1" s="1"/>
  <c r="E86" i="1" a="1"/>
  <c r="E86" i="1" s="1"/>
  <c r="D86" i="1" a="1"/>
  <c r="D86" i="1" s="1"/>
  <c r="C86" i="1" a="1"/>
  <c r="C86" i="1" s="1"/>
  <c r="E85" i="1" a="1"/>
  <c r="E85" i="1" s="1"/>
  <c r="D85" i="1" a="1"/>
  <c r="D85" i="1" s="1"/>
  <c r="C85" i="1" a="1"/>
  <c r="C85" i="1" s="1"/>
  <c r="E84" i="1" a="1"/>
  <c r="E84" i="1" s="1"/>
  <c r="D84" i="1" a="1"/>
  <c r="D84" i="1" s="1"/>
  <c r="C84" i="1" a="1"/>
  <c r="C84" i="1" s="1"/>
  <c r="E83" i="1" a="1"/>
  <c r="E83" i="1" s="1"/>
  <c r="D83" i="1" a="1"/>
  <c r="D83" i="1" s="1"/>
  <c r="C83" i="1" a="1"/>
  <c r="C83" i="1" s="1"/>
  <c r="E82" i="1" a="1"/>
  <c r="E82" i="1" s="1"/>
  <c r="D82" i="1" a="1"/>
  <c r="D82" i="1" s="1"/>
  <c r="C82" i="1" a="1"/>
  <c r="C82" i="1" s="1"/>
  <c r="E81" i="1" a="1"/>
  <c r="E81" i="1" s="1"/>
  <c r="D81" i="1" a="1"/>
  <c r="D81" i="1" s="1"/>
  <c r="C81" i="1" a="1"/>
  <c r="C81" i="1" s="1"/>
  <c r="E80" i="1" a="1"/>
  <c r="E80" i="1" s="1"/>
  <c r="D80" i="1" a="1"/>
  <c r="D80" i="1" s="1"/>
  <c r="C80" i="1" a="1"/>
  <c r="C80" i="1" s="1"/>
  <c r="E79" i="1" a="1"/>
  <c r="E79" i="1" s="1"/>
  <c r="D79" i="1" a="1"/>
  <c r="D79" i="1" s="1"/>
  <c r="C79" i="1" a="1"/>
  <c r="C79" i="1" s="1"/>
  <c r="E78" i="1" a="1"/>
  <c r="E78" i="1" s="1"/>
  <c r="D78" i="1" a="1"/>
  <c r="D78" i="1" s="1"/>
  <c r="C78" i="1" a="1"/>
  <c r="C78" i="1" s="1"/>
  <c r="E77" i="1" a="1"/>
  <c r="E77" i="1" s="1"/>
  <c r="D77" i="1" a="1"/>
  <c r="D77" i="1" s="1"/>
  <c r="C77" i="1" a="1"/>
  <c r="C77" i="1" s="1"/>
  <c r="E76" i="1" a="1"/>
  <c r="E76" i="1" s="1"/>
  <c r="D76" i="1" a="1"/>
  <c r="D76" i="1" s="1"/>
  <c r="C76" i="1" a="1"/>
  <c r="C76" i="1" s="1"/>
  <c r="E75" i="1" a="1"/>
  <c r="E75" i="1" s="1"/>
  <c r="D75" i="1" a="1"/>
  <c r="D75" i="1" s="1"/>
  <c r="C75" i="1" a="1"/>
  <c r="C75" i="1" s="1"/>
  <c r="E74" i="1" a="1"/>
  <c r="E74" i="1" s="1"/>
  <c r="D74" i="1" a="1"/>
  <c r="D74" i="1" s="1"/>
  <c r="C74" i="1" a="1"/>
  <c r="C74" i="1" s="1"/>
  <c r="E73" i="1" a="1"/>
  <c r="E73" i="1" s="1"/>
  <c r="D73" i="1" a="1"/>
  <c r="D73" i="1" s="1"/>
  <c r="C73" i="1" a="1"/>
  <c r="C73" i="1" s="1"/>
  <c r="E72" i="1" a="1"/>
  <c r="E72" i="1" s="1"/>
  <c r="D72" i="1" a="1"/>
  <c r="D72" i="1" s="1"/>
  <c r="C72" i="1" a="1"/>
  <c r="C72" i="1" s="1"/>
  <c r="E71" i="1" a="1"/>
  <c r="E71" i="1" s="1"/>
  <c r="D71" i="1" a="1"/>
  <c r="D71" i="1" s="1"/>
  <c r="C71" i="1" a="1"/>
  <c r="C71" i="1" s="1"/>
  <c r="E70" i="1" a="1"/>
  <c r="E70" i="1" s="1"/>
  <c r="D70" i="1" a="1"/>
  <c r="D70" i="1" s="1"/>
  <c r="C70" i="1" a="1"/>
  <c r="C70" i="1" s="1"/>
  <c r="E69" i="1" a="1"/>
  <c r="E69" i="1" s="1"/>
  <c r="D69" i="1" a="1"/>
  <c r="D69" i="1" s="1"/>
  <c r="C69" i="1" a="1"/>
  <c r="C69" i="1" s="1"/>
  <c r="E68" i="1" a="1"/>
  <c r="E68" i="1" s="1"/>
  <c r="D68" i="1" a="1"/>
  <c r="D68" i="1" s="1"/>
  <c r="C68" i="1" a="1"/>
  <c r="C68" i="1" s="1"/>
  <c r="E67" i="1" a="1"/>
  <c r="E67" i="1" s="1"/>
  <c r="D67" i="1" a="1"/>
  <c r="D67" i="1" s="1"/>
  <c r="C67" i="1" a="1"/>
  <c r="C67" i="1" s="1"/>
  <c r="E66" i="1" a="1"/>
  <c r="E66" i="1" s="1"/>
  <c r="D66" i="1" a="1"/>
  <c r="D66" i="1" s="1"/>
  <c r="C66" i="1" a="1"/>
  <c r="C66" i="1" s="1"/>
  <c r="E65" i="1" a="1"/>
  <c r="E65" i="1" s="1"/>
  <c r="D65" i="1" a="1"/>
  <c r="D65" i="1" s="1"/>
  <c r="C65" i="1" a="1"/>
  <c r="C65" i="1" s="1"/>
  <c r="E64" i="1" a="1"/>
  <c r="E64" i="1" s="1"/>
  <c r="D64" i="1" a="1"/>
  <c r="D64" i="1" s="1"/>
  <c r="C64" i="1" a="1"/>
  <c r="C64" i="1" s="1"/>
  <c r="E63" i="1" a="1"/>
  <c r="E63" i="1" s="1"/>
  <c r="D63" i="1" a="1"/>
  <c r="D63" i="1" s="1"/>
  <c r="C63" i="1" a="1"/>
  <c r="C63" i="1" s="1"/>
  <c r="E62" i="1" a="1"/>
  <c r="E62" i="1" s="1"/>
  <c r="D62" i="1" a="1"/>
  <c r="D62" i="1" s="1"/>
  <c r="C62" i="1" a="1"/>
  <c r="C62" i="1" s="1"/>
  <c r="E61" i="1" a="1"/>
  <c r="E61" i="1" s="1"/>
  <c r="D61" i="1" a="1"/>
  <c r="D61" i="1" s="1"/>
  <c r="C61" i="1" a="1"/>
  <c r="C61" i="1" s="1"/>
  <c r="E60" i="1" a="1"/>
  <c r="E60" i="1" s="1"/>
  <c r="D60" i="1" a="1"/>
  <c r="D60" i="1" s="1"/>
  <c r="C60" i="1" a="1"/>
  <c r="C60" i="1" s="1"/>
  <c r="E59" i="1" a="1"/>
  <c r="E59" i="1" s="1"/>
  <c r="D59" i="1" a="1"/>
  <c r="D59" i="1" s="1"/>
  <c r="C59" i="1" a="1"/>
  <c r="C59" i="1" s="1"/>
  <c r="E58" i="1" a="1"/>
  <c r="E58" i="1" s="1"/>
  <c r="D58" i="1" a="1"/>
  <c r="D58" i="1" s="1"/>
  <c r="C58" i="1" a="1"/>
  <c r="C58" i="1" s="1"/>
  <c r="E57" i="1" a="1"/>
  <c r="E57" i="1" s="1"/>
  <c r="D57" i="1" a="1"/>
  <c r="D57" i="1" s="1"/>
  <c r="C57" i="1" a="1"/>
  <c r="C57" i="1" s="1"/>
  <c r="E56" i="1" a="1"/>
  <c r="E56" i="1" s="1"/>
  <c r="D56" i="1" a="1"/>
  <c r="D56" i="1" s="1"/>
  <c r="C56" i="1" a="1"/>
  <c r="C56" i="1" s="1"/>
  <c r="E55" i="1" a="1"/>
  <c r="E55" i="1" s="1"/>
  <c r="D55" i="1" a="1"/>
  <c r="D55" i="1" s="1"/>
  <c r="C55" i="1" a="1"/>
  <c r="C55" i="1" s="1"/>
  <c r="E54" i="1" a="1"/>
  <c r="E54" i="1" s="1"/>
  <c r="D54" i="1" a="1"/>
  <c r="D54" i="1" s="1"/>
  <c r="C54" i="1" a="1"/>
  <c r="C54" i="1" s="1"/>
  <c r="E53" i="1" a="1"/>
  <c r="E53" i="1" s="1"/>
  <c r="D53" i="1" a="1"/>
  <c r="D53" i="1" s="1"/>
  <c r="C53" i="1" a="1"/>
  <c r="C53" i="1" s="1"/>
  <c r="E52" i="1" a="1"/>
  <c r="E52" i="1" s="1"/>
  <c r="D52" i="1" a="1"/>
  <c r="D52" i="1" s="1"/>
  <c r="C52" i="1" a="1"/>
  <c r="C52" i="1" s="1"/>
  <c r="E51" i="1" a="1"/>
  <c r="E51" i="1" s="1"/>
  <c r="D51" i="1" a="1"/>
  <c r="D51" i="1" s="1"/>
  <c r="C51" i="1" a="1"/>
  <c r="C51" i="1" s="1"/>
  <c r="E50" i="1" a="1"/>
  <c r="E50" i="1" s="1"/>
  <c r="D50" i="1" a="1"/>
  <c r="D50" i="1" s="1"/>
  <c r="C50" i="1" a="1"/>
  <c r="C50" i="1" s="1"/>
  <c r="E49" i="1" a="1"/>
  <c r="E49" i="1" s="1"/>
  <c r="D49" i="1" a="1"/>
  <c r="D49" i="1" s="1"/>
  <c r="C49" i="1" a="1"/>
  <c r="C49" i="1" s="1"/>
  <c r="E48" i="1" a="1"/>
  <c r="E48" i="1" s="1"/>
  <c r="D48" i="1" a="1"/>
  <c r="D48" i="1" s="1"/>
  <c r="C48" i="1" a="1"/>
  <c r="C48" i="1" s="1"/>
  <c r="E47" i="1" a="1"/>
  <c r="E47" i="1" s="1"/>
  <c r="D47" i="1" a="1"/>
  <c r="D47" i="1" s="1"/>
  <c r="C47" i="1" a="1"/>
  <c r="C47" i="1" s="1"/>
  <c r="E46" i="1" a="1"/>
  <c r="E46" i="1" s="1"/>
  <c r="D46" i="1" a="1"/>
  <c r="D46" i="1" s="1"/>
  <c r="C46" i="1" a="1"/>
  <c r="C46" i="1" s="1"/>
  <c r="E45" i="1" a="1"/>
  <c r="E45" i="1" s="1"/>
  <c r="D45" i="1" a="1"/>
  <c r="D45" i="1" s="1"/>
  <c r="C45" i="1" a="1"/>
  <c r="C45" i="1" s="1"/>
  <c r="E44" i="1" a="1"/>
  <c r="E44" i="1" s="1"/>
  <c r="D44" i="1" a="1"/>
  <c r="D44" i="1" s="1"/>
  <c r="C44" i="1" a="1"/>
  <c r="C44" i="1" s="1"/>
  <c r="E43" i="1" a="1"/>
  <c r="E43" i="1" s="1"/>
  <c r="D43" i="1" a="1"/>
  <c r="D43" i="1" s="1"/>
  <c r="C43" i="1" a="1"/>
  <c r="C43" i="1" s="1"/>
  <c r="E42" i="1" a="1"/>
  <c r="E42" i="1" s="1"/>
  <c r="D42" i="1" a="1"/>
  <c r="D42" i="1" s="1"/>
  <c r="C42" i="1" a="1"/>
  <c r="C42" i="1" s="1"/>
  <c r="E41" i="1" a="1"/>
  <c r="E41" i="1" s="1"/>
  <c r="D41" i="1" a="1"/>
  <c r="D41" i="1" s="1"/>
  <c r="C41" i="1" a="1"/>
  <c r="C41" i="1" s="1"/>
  <c r="E40" i="1" a="1"/>
  <c r="E40" i="1" s="1"/>
  <c r="D40" i="1" a="1"/>
  <c r="D40" i="1" s="1"/>
  <c r="C40" i="1" a="1"/>
  <c r="C40" i="1" s="1"/>
  <c r="E39" i="1" a="1"/>
  <c r="E39" i="1" s="1"/>
  <c r="D39" i="1" a="1"/>
  <c r="D39" i="1" s="1"/>
  <c r="C39" i="1" a="1"/>
  <c r="C39" i="1" s="1"/>
  <c r="E38" i="1" a="1"/>
  <c r="E38" i="1" s="1"/>
  <c r="D38" i="1" a="1"/>
  <c r="D38" i="1" s="1"/>
  <c r="C38" i="1" a="1"/>
  <c r="C38" i="1" s="1"/>
  <c r="E37" i="1" a="1"/>
  <c r="E37" i="1" s="1"/>
  <c r="D37" i="1" a="1"/>
  <c r="D37" i="1" s="1"/>
  <c r="C37" i="1" a="1"/>
  <c r="C37" i="1" s="1"/>
  <c r="E36" i="1" a="1"/>
  <c r="E36" i="1" s="1"/>
  <c r="D36" i="1" a="1"/>
  <c r="D36" i="1" s="1"/>
  <c r="C36" i="1" a="1"/>
  <c r="C36" i="1" s="1"/>
  <c r="E35" i="1" a="1"/>
  <c r="E35" i="1" s="1"/>
  <c r="D35" i="1" a="1"/>
  <c r="D35" i="1" s="1"/>
  <c r="C35" i="1" a="1"/>
  <c r="C35" i="1" s="1"/>
  <c r="E34" i="1" a="1"/>
  <c r="E34" i="1" s="1"/>
  <c r="D34" i="1" a="1"/>
  <c r="D34" i="1" s="1"/>
  <c r="C34" i="1" a="1"/>
  <c r="C34" i="1" s="1"/>
  <c r="E33" i="1" a="1"/>
  <c r="E33" i="1" s="1"/>
  <c r="D33" i="1" a="1"/>
  <c r="D33" i="1" s="1"/>
  <c r="C33" i="1" a="1"/>
  <c r="C33" i="1" s="1"/>
  <c r="E32" i="1" a="1"/>
  <c r="E32" i="1" s="1"/>
  <c r="D32" i="1" a="1"/>
  <c r="D32" i="1" s="1"/>
  <c r="C32" i="1" a="1"/>
  <c r="C32" i="1" s="1"/>
  <c r="E31" i="1" a="1"/>
  <c r="E31" i="1" s="1"/>
  <c r="D31" i="1" a="1"/>
  <c r="D31" i="1" s="1"/>
  <c r="C31" i="1" a="1"/>
  <c r="C31" i="1" s="1"/>
  <c r="E30" i="1" a="1"/>
  <c r="E30" i="1" s="1"/>
  <c r="D30" i="1" a="1"/>
  <c r="D30" i="1" s="1"/>
  <c r="C30" i="1" a="1"/>
  <c r="C30" i="1" s="1"/>
  <c r="E29" i="1" a="1"/>
  <c r="E29" i="1" s="1"/>
  <c r="D29" i="1" a="1"/>
  <c r="D29" i="1" s="1"/>
  <c r="C29" i="1" a="1"/>
  <c r="C29" i="1" s="1"/>
  <c r="E28" i="1" a="1"/>
  <c r="E28" i="1" s="1"/>
  <c r="D28" i="1" a="1"/>
  <c r="D28" i="1" s="1"/>
  <c r="C28" i="1" a="1"/>
  <c r="C28" i="1" s="1"/>
  <c r="E27" i="1" a="1"/>
  <c r="E27" i="1" s="1"/>
  <c r="D27" i="1" a="1"/>
  <c r="D27" i="1" s="1"/>
  <c r="C27" i="1" a="1"/>
  <c r="C27" i="1" s="1"/>
  <c r="E26" i="1" a="1"/>
  <c r="E26" i="1" s="1"/>
  <c r="D26" i="1" a="1"/>
  <c r="D26" i="1" s="1"/>
  <c r="C26" i="1" a="1"/>
  <c r="C26" i="1" s="1"/>
  <c r="E25" i="1" a="1"/>
  <c r="E25" i="1" s="1"/>
  <c r="D25" i="1" a="1"/>
  <c r="D25" i="1" s="1"/>
  <c r="C25" i="1" a="1"/>
  <c r="C25" i="1" s="1"/>
  <c r="E24" i="1" a="1"/>
  <c r="E24" i="1" s="1"/>
  <c r="D24" i="1" a="1"/>
  <c r="D24" i="1" s="1"/>
  <c r="C24" i="1" a="1"/>
  <c r="C24" i="1" s="1"/>
  <c r="E23" i="1" a="1"/>
  <c r="E23" i="1" s="1"/>
  <c r="D23" i="1" a="1"/>
  <c r="D23" i="1" s="1"/>
  <c r="C23" i="1" a="1"/>
  <c r="C23" i="1" s="1"/>
  <c r="E22" i="1" a="1"/>
  <c r="E22" i="1" s="1"/>
  <c r="D22" i="1" a="1"/>
  <c r="D22" i="1" s="1"/>
  <c r="C22" i="1" a="1"/>
  <c r="C22" i="1" s="1"/>
  <c r="E21" i="1" a="1"/>
  <c r="E21" i="1" s="1"/>
  <c r="D21" i="1" a="1"/>
  <c r="D21" i="1" s="1"/>
  <c r="C21" i="1" a="1"/>
  <c r="C21" i="1" s="1"/>
  <c r="E20" i="1" a="1"/>
  <c r="E20" i="1" s="1"/>
  <c r="D20" i="1" a="1"/>
  <c r="D20" i="1" s="1"/>
  <c r="C20" i="1" a="1"/>
  <c r="C20" i="1" s="1"/>
  <c r="E19" i="1" a="1"/>
  <c r="E19" i="1" s="1"/>
  <c r="D19" i="1" a="1"/>
  <c r="D19" i="1" s="1"/>
  <c r="C19" i="1" a="1"/>
  <c r="C19" i="1" s="1"/>
  <c r="E18" i="1" a="1"/>
  <c r="E18" i="1" s="1"/>
  <c r="D18" i="1" a="1"/>
  <c r="D18" i="1" s="1"/>
  <c r="C18" i="1" a="1"/>
  <c r="C18" i="1" s="1"/>
  <c r="E17" i="1" a="1"/>
  <c r="E17" i="1" s="1"/>
  <c r="D17" i="1" a="1"/>
  <c r="D17" i="1" s="1"/>
  <c r="C17" i="1" a="1"/>
  <c r="C17" i="1" s="1"/>
  <c r="E16" i="1" a="1"/>
  <c r="E16" i="1" s="1"/>
  <c r="D16" i="1" a="1"/>
  <c r="D16" i="1" s="1"/>
  <c r="C16" i="1" a="1"/>
  <c r="C16" i="1" s="1"/>
  <c r="E15" i="1" a="1"/>
  <c r="E15" i="1" s="1"/>
  <c r="D15" i="1" a="1"/>
  <c r="D15" i="1" s="1"/>
  <c r="C15" i="1" a="1"/>
  <c r="C15" i="1" s="1"/>
  <c r="E14" i="1" a="1"/>
  <c r="E14" i="1" s="1"/>
  <c r="D14" i="1" a="1"/>
  <c r="D14" i="1" s="1"/>
  <c r="C14" i="1" a="1"/>
  <c r="C14" i="1" s="1"/>
  <c r="E13" i="1" a="1"/>
  <c r="E13" i="1" s="1"/>
  <c r="D13" i="1" a="1"/>
  <c r="D13" i="1" s="1"/>
  <c r="C13" i="1" a="1"/>
  <c r="C13" i="1" s="1"/>
  <c r="E12" i="1" a="1"/>
  <c r="E12" i="1" s="1"/>
  <c r="D12" i="1" a="1"/>
  <c r="D12" i="1" s="1"/>
  <c r="C12" i="1" a="1"/>
  <c r="C12" i="1" s="1"/>
  <c r="E11" i="1" a="1"/>
  <c r="E11" i="1" s="1"/>
  <c r="D11" i="1" a="1"/>
  <c r="D11" i="1" s="1"/>
  <c r="C11" i="1" a="1"/>
  <c r="C11" i="1" s="1"/>
  <c r="E10" i="1" a="1"/>
  <c r="E10" i="1" s="1"/>
  <c r="D10" i="1" a="1"/>
  <c r="D10" i="1" s="1"/>
  <c r="C10" i="1" a="1"/>
  <c r="C10" i="1" s="1"/>
  <c r="E9" i="1" a="1"/>
  <c r="E9" i="1" s="1"/>
  <c r="D9" i="1" a="1"/>
  <c r="D9" i="1" s="1"/>
  <c r="C9" i="1" a="1"/>
  <c r="C9" i="1" s="1"/>
  <c r="E8" i="1" a="1"/>
  <c r="E8" i="1" s="1"/>
  <c r="D8" i="1" a="1"/>
  <c r="D8" i="1" s="1"/>
  <c r="C8" i="1" a="1"/>
  <c r="C8" i="1" s="1"/>
  <c r="E7" i="1" a="1"/>
  <c r="E7" i="1" s="1"/>
  <c r="D7" i="1" a="1"/>
  <c r="D7" i="1" s="1"/>
  <c r="C7" i="1" a="1"/>
  <c r="C7" i="1" s="1"/>
  <c r="E6" i="1" a="1"/>
  <c r="E6" i="1" s="1"/>
  <c r="D6" i="1" a="1"/>
  <c r="D6" i="1" s="1"/>
  <c r="C6" i="1" a="1"/>
  <c r="C6" i="1" s="1"/>
  <c r="E5" i="1" a="1"/>
  <c r="E5" i="1" s="1"/>
  <c r="D5" i="1" a="1"/>
  <c r="D5" i="1" s="1"/>
  <c r="C5" i="1" a="1"/>
  <c r="C5" i="1" s="1"/>
  <c r="E4" i="1" a="1"/>
  <c r="E4" i="1" s="1"/>
  <c r="D4" i="1" a="1"/>
  <c r="D4" i="1" s="1"/>
  <c r="C4" i="1" a="1"/>
  <c r="C4" i="1" s="1"/>
  <c r="E3" i="1" a="1"/>
  <c r="E3" i="1" s="1"/>
  <c r="D3" i="1" a="1"/>
  <c r="D3" i="1" s="1"/>
  <c r="C3" i="1" a="1"/>
  <c r="C3" i="1" s="1"/>
  <c r="E2" i="1"/>
  <c r="D2" i="1"/>
  <c r="C2" i="1"/>
  <c r="E1" i="1"/>
  <c r="D1" i="1"/>
  <c r="C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<sst xmlns="http://schemas.openxmlformats.org/spreadsheetml/2006/main" count="2314" uniqueCount="943">
  <si>
    <t>ਗਾਵੈ ਕੋ ਵੇਖੈ ਹਾਦਰਾ ਹਦੂਰਿ ॥</t>
  </si>
  <si>
    <t>गावै को वेखै हादरा हदूरि ॥</t>
  </si>
  <si>
    <t>Gāvai ko vekẖai hāḏrā haḏūr.</t>
  </si>
  <si>
    <t>Some sing that He watches over us, face to face, ever-present.</t>
  </si>
  <si>
    <t>ਕਥਨਾ ਕਥੀ ਨ ਆਵੈ ਤੋਟਿ ॥</t>
  </si>
  <si>
    <t>कथना कथी न आवै तोटि ॥</t>
  </si>
  <si>
    <t>Kathnā kathī na āvai ṯot.</t>
  </si>
  <si>
    <t>There is no shortage of those who preach and teach.</t>
  </si>
  <si>
    <t>ਕਥਿ ਕਥਿ ਕਥੀ ਕੋਟੀ ਕੋਟਿ ਕੋਟਿ ॥</t>
  </si>
  <si>
    <t>कथि कथि कथी कोटी कोटि कोटि ॥</t>
  </si>
  <si>
    <t>Kath kath kathī kotī kot kot.</t>
  </si>
  <si>
    <t>Millions upon millions offer millions of sermons and stories.</t>
  </si>
  <si>
    <t>ਦੇਦਾ ਦੇ ਲੈਦੇ ਥਕਿ ਪਾਹਿ ॥</t>
  </si>
  <si>
    <t>देदा दे लैदे थकि पाहि ॥</t>
  </si>
  <si>
    <t>Ḏeḏā ḏe laiḏe thak pāhi.</t>
  </si>
  <si>
    <t>The Great Giver keeps on giving, while those who receive grow weary of receiving.</t>
  </si>
  <si>
    <t>ਜੁਗਾ ਜੁਗੰਤਰਿ ਖਾਹੀ ਖਾਹਿ ॥</t>
  </si>
  <si>
    <t>जुगा जुगंतरि खाही खाहि ॥</t>
  </si>
  <si>
    <t>Jugā juganṯar kẖāhī kẖāhi.</t>
  </si>
  <si>
    <t>Throughout the ages, consumers consume.</t>
  </si>
  <si>
    <t>ਹੁਕਮੀ ਹੁਕਮੁ ਚਲਾਏ ਰਾਹੁ ॥</t>
  </si>
  <si>
    <t>हुकमी हुकमु चलाए राहु ॥</t>
  </si>
  <si>
    <t>Hukmī hukam cẖalā▫e rāhu.</t>
  </si>
  <si>
    <t>The Commander, by His Command, leads us to walk on the Path.</t>
  </si>
  <si>
    <t>ਨਾਨਕ ਵਿਗਸੈ ਵੇਪਰਵਾਹੁ ॥੩॥</t>
  </si>
  <si>
    <t>नानक विगसै वेपरवाहु ॥३॥</t>
  </si>
  <si>
    <t>Nānak vigsai veparvāhu. ||3||</t>
  </si>
  <si>
    <t>O Nanak, He blossoms forth, Carefree and Untroubled. ||3||</t>
  </si>
  <si>
    <t>ਸਾਚਾ ਸਾਹਿਬੁ ਸਾਚੁ ਨਾਇ ਭਾਖਿਆ ਭਾਉ ਅਪਾਰੁ ॥</t>
  </si>
  <si>
    <t>साचा साहिबु साचु नाइ भाखिआ भाउ अपारु ॥</t>
  </si>
  <si>
    <t>Sācẖā sāhib sācẖ nā▫e bẖākẖi▫ā bẖā▫o apār.</t>
  </si>
  <si>
    <t>True is the Master, True is His Name-speak it with infinite love.</t>
  </si>
  <si>
    <t>ਆਖਹਿ ਮੰਗਹਿ ਦੇਹਿ ਦੇਹਿ ਦਾਤਿ ਕਰੇ ਦਾਤਾਰੁ ॥</t>
  </si>
  <si>
    <t>आखहि मंगहि देहि देहि दाति करे दातारु ॥</t>
  </si>
  <si>
    <t>Ākẖahi mangahi ḏehi ḏehi ḏāṯ kare ḏāṯār.</t>
  </si>
  <si>
    <t>People beg and pray, "Give to us, give to us", and the Great Giver gives His Gifts.</t>
  </si>
  <si>
    <t>ਫੇਰਿ ਕਿ ਅਗੈ ਰਖੀਐ ਜਿਤੁ ਦਿਸੈ ਦਰਬਾਰੁ ॥</t>
  </si>
  <si>
    <t>फेरि कि अगै रखीऐ जितु दिसै दरबारु ॥</t>
  </si>
  <si>
    <t>Fer kė agai rakẖī▫ai jiṯ ḏisai ḏarbār.</t>
  </si>
  <si>
    <t>So what offering can we place before Him, by which we might see the Darbaar of His Court?</t>
  </si>
  <si>
    <t>ਮੁਹੌ ਕਿ ਬੋਲਣੁ ਬੋਲੀਐ ਜਿਤੁ ਸੁਣਿ ਧਰੇ ਪਿਆਰੁ ॥</t>
  </si>
  <si>
    <t>मुहौ कि बोलणु बोलीऐ जितु सुणि धरे पिआरु ॥</t>
  </si>
  <si>
    <t>Muhou kė bolaṇ bolī▫ai jiṯ suṇ ḏẖare pi▫ār.</t>
  </si>
  <si>
    <t>What words can we speak to evoke His Love?</t>
  </si>
  <si>
    <t>ਅੰਮ੍ਰਿਤ ਵੇਲਾ ਸਚੁ ਨਾਉ ਵਡਿਆਈ ਵੀਚਾਰੁ ॥</t>
  </si>
  <si>
    <t>अम्रित वेला सचु नाउ वडिआई वीचारु ॥</t>
  </si>
  <si>
    <t>Amriṯ velā sacẖ nā▫o vadi▫ā▫ī vīcẖār.</t>
  </si>
  <si>
    <t>In the Amrit Vaylaa, the ambrosial hours before dawn, chant the True Name, and contemplate His Glorious Greatness.</t>
  </si>
  <si>
    <t>ਕਰਮੀ ਆਵੈ ਕਪੜਾ ਨਦਰੀ ਮੋਖੁ ਦੁਆਰੁ ॥</t>
  </si>
  <si>
    <t>करमी आवै कपड़ा नदरी मोखु दुआरु ॥</t>
  </si>
  <si>
    <t>Karmī āvai kapṛā naḏrī mokẖ ḏu▫ār.</t>
  </si>
  <si>
    <t>By the karma of past actions, the robe of this physical body is obtained. By His Grace, the Gate of Liberation is found.</t>
  </si>
  <si>
    <t>ਨਾਨਕ ਏਵੈ ਜਾਣੀਐ ਸਭੁ ਆਪੇ ਸਚਿਆਰੁ ॥੪॥</t>
  </si>
  <si>
    <t>नानक एवै जाणीऐ सभु आपे सचिआरु ॥४॥</t>
  </si>
  <si>
    <t>Nānak evai jāṇī▫ai sabẖ āpe sacẖiār. ||4||</t>
  </si>
  <si>
    <t>O Nanak, know this well: the True One Himself is All. ||4||</t>
  </si>
  <si>
    <t>ਥਾਪਿਆ ਨ ਜਾਇ ਕੀਤਾ ਨ ਹੋਇ ॥</t>
  </si>
  <si>
    <t>थापिआ न जाइ कीता न होइ ॥</t>
  </si>
  <si>
    <t>Thāpi▫ā na jā▫e kīṯā na ho▫e.</t>
  </si>
  <si>
    <t>He cannot be established, He cannot be created.</t>
  </si>
  <si>
    <t>ਆਪੇ ਆਪਿ ਨਿਰੰਜਨੁ ਸੋਇ ॥</t>
  </si>
  <si>
    <t>आपे आपि निरंजनु सोइ ॥</t>
  </si>
  <si>
    <t>Āpe āp niranjan so▫e.</t>
  </si>
  <si>
    <t>He Himself is Immaculate and Pure.</t>
  </si>
  <si>
    <t>ਜਿਨਿ ਸੇਵਿਆ ਤਿਨਿ ਪਾਇਆ ਮਾਨੁ ॥</t>
  </si>
  <si>
    <t>जिनि सेविआ तिनि पाइआ मानु ॥</t>
  </si>
  <si>
    <t>Jin sevi▫ā ṯin pā▫i▫ā mān.</t>
  </si>
  <si>
    <t>Those who serve Him are honored.</t>
  </si>
  <si>
    <t>ਨਾਨਕ ਗਾਵੀਐ ਗੁਣੀ ਨਿਧਾਨੁ ॥</t>
  </si>
  <si>
    <t>नानक गावीऐ गुणी निधानु ॥</t>
  </si>
  <si>
    <t>Nānak gāvī▫ai guṇī niḏẖān.</t>
  </si>
  <si>
    <t>O Nanak, sing of the Lord, the Treasure of Excellence.</t>
  </si>
  <si>
    <t>ਗਾਵੀਐ ਸੁਣੀਐ ਮਨਿ ਰਖੀਐ ਭਾਉ ॥</t>
  </si>
  <si>
    <t>गावीऐ सुणीऐ मनि रखीऐ भाउ ॥</t>
  </si>
  <si>
    <t>Gāvī▫ai suṇī▫ai man rakẖī▫ai bẖā▫o.</t>
  </si>
  <si>
    <t>Sing, and listen, and let your mind be filled with love.</t>
  </si>
  <si>
    <t>ਦੁਖੁ ਪਰਹਰਿ ਸੁਖੁ ਘਰਿ ਲੈ ਜਾਇ ॥</t>
  </si>
  <si>
    <t>दुखु परहरि सुखु घरि लै जाइ ॥</t>
  </si>
  <si>
    <t>Ḏukẖ parhar sukẖ gẖar lai jā▫e.</t>
  </si>
  <si>
    <t>Your pain shall be sent far away, and peace shall come to your home.</t>
  </si>
  <si>
    <t>ਗੁਰਮੁਖਿ ਨਾਦੰ ਗੁਰਮੁਖਿ ਵੇਦੰ ਗੁਰਮੁਖਿ ਰਹਿਆ ਸਮਾਈ ॥</t>
  </si>
  <si>
    <t>गुरमुखि नादं गुरमुखि वेदं गुरमुखि रहिआ समाई ॥</t>
  </si>
  <si>
    <t>Gurmukẖ nāḏaŉ gurmukẖ veḏaŉ gurmukẖ rahi▫ā samā▫ī.</t>
  </si>
  <si>
    <t>The Guru's Word is the Sound-current of the Naad; the Guru's Word is the Wisdom of the Vedas; the Guru's Word is all-pervading.</t>
  </si>
  <si>
    <t>ਗੁਰੁ ਈਸਰੁ ਗੁਰੁ ਗੋਰਖੁ ਬਰਮਾ ਗੁਰੁ ਪਾਰਬਤੀ ਮਾਈ ॥</t>
  </si>
  <si>
    <t>गुरु ईसरु गुरु गोरखु बरमा गुरु पारबती माई ॥</t>
  </si>
  <si>
    <t>Gur īsar gur gorakẖ barmā gur pārbaṯī mā▫ī.</t>
  </si>
  <si>
    <t>The Guru is Shiva, the Guru is Vishnu and Brahma; the Guru is Paarvati and Lakhshmi.</t>
  </si>
  <si>
    <t>ਜੇ ਹਉ ਜਾਣਾ ਆਖਾ ਨਾਹੀ ਕਹਣਾ ਕਥਨੁ ਨ ਜਾਈ ॥</t>
  </si>
  <si>
    <t>जे हउ जाणा आखा नाही कहणा कथनु न जाई ॥</t>
  </si>
  <si>
    <t>Je ha▫o jāṇā ākẖā nāhī kahṇā kathan na jā▫ī.</t>
  </si>
  <si>
    <t>Even knowing God, I cannot describe Him; He cannot be described in words.</t>
  </si>
  <si>
    <t>ਗੁਰਾ ਇਕ ਦੇਹਿ ਬੁਝਾਈ ॥</t>
  </si>
  <si>
    <t>गुरा इक देहि बुझाई ॥</t>
  </si>
  <si>
    <t>Gurā ik ḏehi bujẖā▫ī.</t>
  </si>
  <si>
    <t>The Guru has given me this one understanding:</t>
  </si>
  <si>
    <t>ਸਭਨਾ ਜੀਆ ਕਾ ਇਕੁ ਦਾਤਾ ਸੋ ਮੈ ਵਿਸਰਿ ਨ ਜਾਈ ॥੫॥</t>
  </si>
  <si>
    <t>सभना जीआ का इकु दाता सो मै विसरि न जाई ॥५॥</t>
  </si>
  <si>
    <t>Sabẖnā jī▫ā kā ik ḏāṯā so mai visar na jā▫ī. ||5||</t>
  </si>
  <si>
    <t>there is only the One, the Giver of all souls. May I never forget Him! ||5||</t>
  </si>
  <si>
    <t>ਤੀਰਥਿ ਨਾਵਾ ਜੇ ਤਿਸੁ ਭਾਵਾ ਵਿਣੁ ਭਾਣੇ ਕਿ ਨਾਇ ਕਰੀ ॥</t>
  </si>
  <si>
    <t>तीरथि नावा जे तिसु भावा विणु भाणे कि नाइ करी ॥</t>
  </si>
  <si>
    <t>Ŧirath nāvā je ṯis bẖāvā viṇ bẖāṇe kė nā▫e karī.</t>
  </si>
  <si>
    <t>If I am pleasing to Him, then that is my pilgrimage and cleansing bath. Without pleasing Him, what good are ritual cleansings?</t>
  </si>
  <si>
    <t>ਜੇਤੀ ਸਿਰਠਿ ਉਪਾਈ ਵੇਖਾ ਵਿਣੁ ਕਰਮਾ ਕਿ ਮਿਲੈ ਲਈ ॥</t>
  </si>
  <si>
    <t>जेती सिरठि उपाई वेखा विणु करमा कि मिलै लई ॥</t>
  </si>
  <si>
    <t>Jeṯī siraṯẖ upā▫ī vekẖā viṇ karmā kė milai la▫ī.</t>
  </si>
  <si>
    <t>I gaze upon all the created beings: without the karma of good actions, what are they given to receive?</t>
  </si>
  <si>
    <t>ਮਤਿ ਵਿਚਿ ਰਤਨ ਜਵਾਹਰ ਮਾਣਿਕ ਜੇ ਇਕ ਗੁਰ ਕੀ ਸਿਖ ਸੁਣੀ ॥</t>
  </si>
  <si>
    <t>मति विचि रतन जवाहर माणिक जे इक गुर की सिख सुणी ॥</t>
  </si>
  <si>
    <t>Maṯ vicẖ raṯan javāhar māṇik je ik gur kī sikẖ suṇī.</t>
  </si>
  <si>
    <t>Within the mind are gems, jewels and rubies, if you listen to the Guru's Teachings, even once.</t>
  </si>
  <si>
    <t>ਸਭਨਾ ਜੀਆ ਕਾ ਇਕੁ ਦਾਤਾ ਸੋ ਮੈ ਵਿਸਰਿ ਨ ਜਾਈ ॥੬॥</t>
  </si>
  <si>
    <t>सभना जीआ का इकु दाता सो मै विसरि न जाई ॥६॥</t>
  </si>
  <si>
    <t>Sabẖnā jī▫ā kā ik ḏāṯā so mai visar na jā▫ī. ||6||</t>
  </si>
  <si>
    <t>there is only the One, the Giver of all souls. May I never forget Him! ||6||</t>
  </si>
  <si>
    <t>ਜੇ ਜੁਗ ਚਾਰੇ ਆਰਜਾ ਹੋਰ ਦਸੂਣੀ ਹੋਇ ॥</t>
  </si>
  <si>
    <t>जे जुग चारे आरजा होर दसूणी होइ ॥</t>
  </si>
  <si>
    <t>Je jug cẖāre ārjā hor ḏasūṇī ho▫e.</t>
  </si>
  <si>
    <t>Even if you could live throughout the four ages, or even ten times more,</t>
  </si>
  <si>
    <t>ਨਵਾ ਖੰਡਾ ਵਿਚਿ ਜਾਣੀਐ ਨਾਲਿ ਚਲੈ ਸਭੁ ਕੋਇ ॥</t>
  </si>
  <si>
    <t>नवा खंडा विचि जाणीऐ नालि चलै सभु कोइ ॥</t>
  </si>
  <si>
    <t>Navā kẖanda vicẖ jāṇī▫ai nāl cẖalai sabẖ ko▫e.</t>
  </si>
  <si>
    <t>and even if you were known throughout the nine continents and followed by all,</t>
  </si>
  <si>
    <t>ਚੰਗਾ ਨਾਉ ਰਖਾਇ ਕੈ ਜਸੁ ਕੀਰਤਿ ਜਗਿ ਲੇਇ ॥</t>
  </si>
  <si>
    <t>चंगा नाउ रखाइ कै जसु कीरति जगि लेइ ॥</t>
  </si>
  <si>
    <t>Cẖanga nā▫o rakẖā▫e kai jas kīraṯ jag le▫e.</t>
  </si>
  <si>
    <t>with a good name and reputation, with praise and fame throughout the world-</t>
  </si>
  <si>
    <t>ਜੇ ਤਿਸੁ ਨਦਰਿ ਨ ਆਵਈ ਤ ਵਾਤ ਨ ਪੁਛੈ ਕੇ ॥</t>
  </si>
  <si>
    <t>जे तिसु नदरि न आवई त वात न पुछै के ॥</t>
  </si>
  <si>
    <t>Je ṯis naḏar na āvī ṯa vāṯ na pucẖẖai ke.</t>
  </si>
  <si>
    <t>still, if the Lord does not bless you with His Glance of Grace, then who cares? What is the use?</t>
  </si>
  <si>
    <t>ਕੀਟਾ ਅੰਦਰਿ ਕੀਟੁ ਕਰਿ ਦੋਸੀ ਦੋਸੁ ਧਰੇ ॥</t>
  </si>
  <si>
    <t>कीटा अंदरि कीटु करि दोसी दोसु धरे ॥</t>
  </si>
  <si>
    <t>Kītā anḏar kīt kar ḏosī ḏos ḏẖare.</t>
  </si>
  <si>
    <t>Among worms, you would be considered a lowly worm, and even contemptible sinners would hold you in contempt.</t>
  </si>
  <si>
    <t>ਨਾਨਕ ਨਿਰਗੁਣਿ ਗੁਣੁ ਕਰੇ ਗੁਣਵੰਤਿਆ ਗੁਣੁ ਦੇ ॥</t>
  </si>
  <si>
    <t>नानक निरगुणि गुणु करे गुणवंतिआ गुणु दे ॥</t>
  </si>
  <si>
    <t>Nānak nirguṇ guṇ kare guṇvanṯi▫ā guṇ ḏe.</t>
  </si>
  <si>
    <t>O Nanak, God blesses the unworthy with virtue, and bestows virtue on the virtuous.</t>
  </si>
  <si>
    <t>ਤੇਹਾ ਕੋਇ ਨ ਸੁਝਈ ਜਿ ਤਿਸੁ ਗੁਣੁ ਕੋਇ ਕਰੇ ॥੭॥</t>
  </si>
  <si>
    <t>तेहा कोइ न सुझई जि तिसु गुणु कोइ करे ॥७॥</t>
  </si>
  <si>
    <t>Ŧehā ko▫e na sujẖ▫ī jė ṯis guṇ ko▫e kare. ||7||</t>
  </si>
  <si>
    <t>No one can even imagine anyone who can bestow virtue upon Him. ||7||</t>
  </si>
  <si>
    <t>ਸੁਣਿਐ ਸਿਧ ਪੀਰ ਸੁਰਿ ਨਾਥ ॥</t>
  </si>
  <si>
    <t>सुणिऐ सिध पीर सुरि नाथ ॥</t>
  </si>
  <si>
    <t>Suṇi▫ai siḏẖ pīr sur nāth.</t>
  </si>
  <si>
    <t>Listening-the Siddhas, the spiritual teachers, the heroic warriors, the yogic masters.</t>
  </si>
  <si>
    <t>ਸੁਣਿਐ ਧਰਤਿ ਧਵਲ ਆਕਾਸ ॥</t>
  </si>
  <si>
    <t>सुणिऐ धरति धवल आकास ॥</t>
  </si>
  <si>
    <t>Suṇi▫ai ḏẖaraṯ ḏẖaval ākās.</t>
  </si>
  <si>
    <t>Listening-the earth, its support and the Akaashic ethers.</t>
  </si>
  <si>
    <t>ਸੁਣਿਐ ਦੀਪ ਲੋਅ ਪਾਤਾਲ ॥</t>
  </si>
  <si>
    <t>सुणिऐ दीप लोअ पाताल ॥</t>
  </si>
  <si>
    <t>Suṇi▫ai ḏīp lo▫a pāṯāl.</t>
  </si>
  <si>
    <t>Listening-the oceans, the lands of the world and the nether regions of the underworld.</t>
  </si>
  <si>
    <t>ਸੁਣਿਐ ਪੋਹਿ ਨ ਸਕੈ ਕਾਲੁ ॥</t>
  </si>
  <si>
    <t>सुणिऐ पोहि न सकै कालु ॥</t>
  </si>
  <si>
    <t>Suṇi▫ai pohi na sakai kāl.</t>
  </si>
  <si>
    <t>Listening-Death cannot even touch you.</t>
  </si>
  <si>
    <t>ਨਾਨਕ ਭਗਤਾ ਸਦਾ ਵਿਗਾਸੁ ॥</t>
  </si>
  <si>
    <t>नानक भगता सदा विगासु ॥</t>
  </si>
  <si>
    <t>Nānak bẖagṯā saḏā vigās.</t>
  </si>
  <si>
    <t>O Nanak, the devotees are forever in bliss.</t>
  </si>
  <si>
    <t>ਸੁਣਿਐ ਦੂਖ ਪਾਪ ਕਾ ਨਾਸੁ ॥੮॥</t>
  </si>
  <si>
    <t>सुणिऐ दूख पाप का नासु ॥८॥</t>
  </si>
  <si>
    <t>Suṇi▫ai ḏūkẖ pāp kā nās. ||8||</t>
  </si>
  <si>
    <t>Listening-pain and sin are erased. ||8||</t>
  </si>
  <si>
    <t>ਸੁਣਿਐ ਈਸਰੁ ਬਰਮਾ ਇੰਦੁ ॥</t>
  </si>
  <si>
    <t>सुणिऐ ईसरु बरमा इंदु ॥</t>
  </si>
  <si>
    <t>Suṇi▫ai īsar barmā inḏ.</t>
  </si>
  <si>
    <t>Listening-Shiva, Brahma and Indra.</t>
  </si>
  <si>
    <t>ਸੁਣਿਐ ਮੁਖਿ ਸਾਲਾਹਣ ਮੰਦੁ ॥</t>
  </si>
  <si>
    <t>सुणिऐ मुखि सालाहण मंदु ॥</t>
  </si>
  <si>
    <t>Suṇi▫ai mukẖ sālāhaṇ manḏ.</t>
  </si>
  <si>
    <t>Listening-even foul-mouthed people praise Him.</t>
  </si>
  <si>
    <t>ਸੁਣਿਐ ਜੋਗ ਜੁਗਤਿ ਤਨਿ ਭੇਦ ॥</t>
  </si>
  <si>
    <t>सुणिऐ जोग जुगति तनि भेद ॥</t>
  </si>
  <si>
    <t>Suṇi▫ai jog jugaṯ ṯan bẖeḏ.</t>
  </si>
  <si>
    <t>Listening-the technology of Yoga and the secrets of the body.</t>
  </si>
  <si>
    <t>ਸੁਣਿਐ ਸਾਸਤ ਸਿਮ੍ਰਿਤਿ ਵੇਦ ॥</t>
  </si>
  <si>
    <t>सुणिऐ सासत सिम्रिति वेद ॥</t>
  </si>
  <si>
    <t>Suṇi▫ai sāsaṯ simriṯ veḏ.</t>
  </si>
  <si>
    <t>Listening-the Shaastras, the Simritees and the Vedas.</t>
  </si>
  <si>
    <t>date</t>
  </si>
  <si>
    <t>post no</t>
  </si>
  <si>
    <t>gurmukhi</t>
  </si>
  <si>
    <t>devnagri</t>
  </si>
  <si>
    <t>english</t>
  </si>
  <si>
    <t>posted</t>
  </si>
  <si>
    <t>awc-gp33</t>
  </si>
  <si>
    <t>awc-gp32</t>
  </si>
  <si>
    <t>awc-gp22</t>
  </si>
  <si>
    <t>awc-gp23</t>
  </si>
  <si>
    <t>awc-gp24</t>
  </si>
  <si>
    <t>awc-gp25</t>
  </si>
  <si>
    <t>awc-gp26</t>
  </si>
  <si>
    <t>awc-gp27</t>
  </si>
  <si>
    <t>awc-gp28</t>
  </si>
  <si>
    <t>awc-gp29</t>
  </si>
  <si>
    <t>awc-gp30</t>
  </si>
  <si>
    <t>awc-gp31</t>
  </si>
  <si>
    <t>awc-gp34</t>
  </si>
  <si>
    <t>awc-gp35</t>
  </si>
  <si>
    <t>awc-gp36</t>
  </si>
  <si>
    <t>awc-gp37</t>
  </si>
  <si>
    <t>awc-gp38</t>
  </si>
  <si>
    <t>awc-gp39</t>
  </si>
  <si>
    <t>awc-gp40</t>
  </si>
  <si>
    <t>awc-gp41</t>
  </si>
  <si>
    <t>awc-gp42</t>
  </si>
  <si>
    <t>awc-gp43</t>
  </si>
  <si>
    <t>awc-gp44</t>
  </si>
  <si>
    <t>awc-gp45</t>
  </si>
  <si>
    <t>awc-gp46</t>
  </si>
  <si>
    <t>awc-gp47</t>
  </si>
  <si>
    <t>awc-gp48</t>
  </si>
  <si>
    <t>awc-gp49</t>
  </si>
  <si>
    <t>awc-gp50</t>
  </si>
  <si>
    <t>awc-gp51</t>
  </si>
  <si>
    <t>awc-gp52</t>
  </si>
  <si>
    <t>awc-gp53</t>
  </si>
  <si>
    <t>awc-gp54</t>
  </si>
  <si>
    <t>awc-gp55</t>
  </si>
  <si>
    <t>awc-gp56</t>
  </si>
  <si>
    <t>awc-gp57</t>
  </si>
  <si>
    <t>awc-gp58</t>
  </si>
  <si>
    <t>awc-gp59</t>
  </si>
  <si>
    <t>awc-gp60</t>
  </si>
  <si>
    <t>awc-gp61</t>
  </si>
  <si>
    <t>awc-gp62</t>
  </si>
  <si>
    <t>awc-gp63</t>
  </si>
  <si>
    <t>awc-gp64</t>
  </si>
  <si>
    <t>awc-gp65</t>
  </si>
  <si>
    <t>awc-gp66</t>
  </si>
  <si>
    <t>awc-gp67</t>
  </si>
  <si>
    <t>awc-gp68</t>
  </si>
  <si>
    <t>awc-gp69</t>
  </si>
  <si>
    <t>y</t>
  </si>
  <si>
    <t>ੴ ਸਤਿ ਨਾਮੁ ਕਰਤਾ ਪੁਰਖੁ ਨਿਰਭਉ ਨਿਰਵੈਰੁ ਅਕਾਲ ਮੂਰਤਿ ਅਜੂਨੀ ਸੈਭੰ ਗੁਰ ਪ੍ਰਸਾਦਿ ॥</t>
  </si>
  <si>
    <t>ੴ सति नामु करता पुरखु निरभउ निरवैरु अकाल मूरति अजूनी सैभं गुर प्रसादि ॥</t>
  </si>
  <si>
    <t>Ik▫oaŉkār saṯ nām karṯā purakẖ nirbẖa▫o nirvair akāl mūraṯ ajūnī saibẖaŉ gur parsāḏ.</t>
  </si>
  <si>
    <t>One Universal Creator God. The Name Is Truth. Creative Being Personified. No Fear. No Hatred. Image Of The Undying, Beyond Birth, Self-Existent. By Guru's Grace ~</t>
  </si>
  <si>
    <t>॥ ਜਪੁ ॥</t>
  </si>
  <si>
    <t>जपु ॥</t>
  </si>
  <si>
    <t>Jap.</t>
  </si>
  <si>
    <t>Chant And Meditate:</t>
  </si>
  <si>
    <t>ਆਦਿ ਸਚੁ ਜੁਗਾਦਿ ਸਚੁ ॥</t>
  </si>
  <si>
    <t>आदि सचु जुगादि सचु ॥</t>
  </si>
  <si>
    <t>Āḏ sacẖ jugāḏ sacẖ.</t>
  </si>
  <si>
    <t>True In The Primal Beginning. True Throughout The Ages.</t>
  </si>
  <si>
    <t>ਹੈ ਭੀ ਸਚੁ ਨਾਨਕ ਹੋਸੀ ਭੀ ਸਚੁ ॥੧॥</t>
  </si>
  <si>
    <t>है भी सचु नानक होसी भी सचु ॥१॥</t>
  </si>
  <si>
    <t>Hai bẖī sacẖ Nānak hosī bẖī sacẖ. ||1||</t>
  </si>
  <si>
    <t>True Here And Now. O Nanak, Forever And Ever True. ||1||</t>
  </si>
  <si>
    <t>ਸੋਚੈ ਸੋਚਿ ਨ ਹੋਵਈ ਜੇ ਸੋਚੀ ਲਖ ਵਾਰ ॥</t>
  </si>
  <si>
    <t>सोचै सोचि न होवई जे सोची लख वार ॥</t>
  </si>
  <si>
    <t>Socẖai socẖ na hova▫ī je socẖī lakẖ vār.</t>
  </si>
  <si>
    <t>By thinking, He cannot be reduced to thought, even by thinking hundreds of thousands of times.</t>
  </si>
  <si>
    <t>ਚੁਪੈ ਚੁਪ ਨ ਹੋਵਈ ਜੇ ਲਾਇ ਰਹਾ ਲਿਵ ਤਾਰ ॥</t>
  </si>
  <si>
    <t>चुपै चुप न होवई जे लाइ रहा लिव तार ॥</t>
  </si>
  <si>
    <t>Cẖupai cẖup na hova▫ī je lā▫e rahā liv ṯār.</t>
  </si>
  <si>
    <t>By remaining silent, inner silence is not obtained, even by remaining lovingly absorbed deep within.</t>
  </si>
  <si>
    <t>ਭੁਖਿਆ ਭੁਖ ਨ ਉਤਰੀ ਜੇ ਬੰਨਾ ਪੁਰੀਆ ਭਾਰ ॥</t>
  </si>
  <si>
    <t>भुखिआ भुख न उतरी जे बंना पुरीआ भार ॥</t>
  </si>
  <si>
    <t>Bẖukẖi▫ā bẖukẖ na uṯrī je bannā purī▫ā bẖār.</t>
  </si>
  <si>
    <t>The hunger of the hungry is not appeased, even by piling up loads of worldly goods.</t>
  </si>
  <si>
    <t>ਸਹਸ ਸਿਆਣਪਾ ਲਖ ਹੋਹਿ ਤ ਇਕ ਨ ਚਲੈ ਨਾਲਿ ॥</t>
  </si>
  <si>
    <t>सहस सिआणपा लख होहि त इक न चलै नालि ॥</t>
  </si>
  <si>
    <t>Sahas si▫āṇpā lakẖ hohi ṯa ik na cẖalai nāl.</t>
  </si>
  <si>
    <t>Hundreds of thousands of clever tricks, but not even one of them will go along with you in the end.</t>
  </si>
  <si>
    <t>ਕਿਵ ਸਚਿਆਰਾ ਹੋਈਐ ਕਿਵ ਕੂੜੈ ਤੁਟੈ ਪਾਲਿ ॥</t>
  </si>
  <si>
    <t>किव सचिआरा होईऐ किव कूड़ै तुटै पालि ॥</t>
  </si>
  <si>
    <t>Kiv sacẖi▫ārā ho▫ī▫ai kiv kūrhai ṯutai pāl.</t>
  </si>
  <si>
    <t>So how can you become truthful? And how can the veil of illusion be torn away?</t>
  </si>
  <si>
    <t>ਹੁਕਮਿ ਰਜਾਈ ਚਲਣਾ ਨਾਨਕ ਲਿਖਿਆ ਨਾਲਿ ॥੧॥</t>
  </si>
  <si>
    <t>हुकमि रजाई चलणा नानक लिखिआ नालि ॥१॥</t>
  </si>
  <si>
    <t>Hukam rajā▫ī cẖalṇā Nānak likẖi▫ā nāl. ||1||</t>
  </si>
  <si>
    <t>O Nanak, it is written that you shall obey the Hukam of His Command, and walk in the Way of His Will. ||1||</t>
  </si>
  <si>
    <t>ਹੁਕਮੀ ਹੋਵਨਿ ਆਕਾਰ ਹੁਕਮੁ ਨ ਕਹਿਆ ਜਾਈ ॥</t>
  </si>
  <si>
    <t>हुकमी होवनि आकार हुकमु न कहिआ जाई ॥</t>
  </si>
  <si>
    <t>Hukmī hovan ākār hukam na kahi▫ā jā▫ī.</t>
  </si>
  <si>
    <t>By His Command, bodies are created; His Command cannot be described.</t>
  </si>
  <si>
    <t>ਹੁਕਮੀ ਹੋਵਨਿ ਜੀਅ ਹੁਕਮਿ ਮਿਲੈ ਵਡਿਆਈ ॥</t>
  </si>
  <si>
    <t>हुकमी होवनि जीअ हुकमि मिलै वडिआई ॥</t>
  </si>
  <si>
    <t>Hukmī hovan jī▫a hukam milai vadi▫ā▫ī.</t>
  </si>
  <si>
    <t>By His Command, souls come into being; by His Command, glory and greatness are obtained.</t>
  </si>
  <si>
    <t>ਹੁਕਮੀ ਉਤਮੁ ਨੀਚੁ ਹੁਕਮਿ ਲਿਖਿ ਦੁਖ ਸੁਖ ਪਾਈਅਹਿ ॥</t>
  </si>
  <si>
    <t>हुकमी उतमु नीचु हुकमि लिखि दुख सुख पाईअहि ॥</t>
  </si>
  <si>
    <t>Hukmī uṯam nīcẖ hukam likẖ ḏukẖ sukẖ pā▫ī▫ah.</t>
  </si>
  <si>
    <t>By His Command, some are high and some are low; by His Written Command, pain and pleasure are obtained.</t>
  </si>
  <si>
    <t>ਇਕਨਾ ਹੁਕਮੀ ਬਖਸੀਸ ਇਕਿ ਹੁਕਮੀ ਸਦਾ ਭਵਾਈਅਹਿ ॥</t>
  </si>
  <si>
    <t>इकना हुकमी बखसीस इकि हुकमी सदा भवाईअहि ॥</t>
  </si>
  <si>
    <t>Iknā hukmī bakẖsīs ik hukmī saḏā bẖavā▫ī▫ah.</t>
  </si>
  <si>
    <t>Some, by His Command, are blessed and forgiven; others, by His Command, wander aimlessly forever.</t>
  </si>
  <si>
    <t>ਹੁਕਮੈ ਅੰਦਰਿ ਸਭੁ ਕੋ ਬਾਹਰਿ ਹੁਕਮ ਨ ਕੋਇ ॥</t>
  </si>
  <si>
    <t>हुकमै अंदरि सभु को बाहरि हुकम न कोइ ॥</t>
  </si>
  <si>
    <t>Hukmai anḏar sabẖ ko bāhar hukam na ko▫e.</t>
  </si>
  <si>
    <t>Everyone is subject to His Command; no one is beyond His Command.</t>
  </si>
  <si>
    <t>ਨਾਨਕ ਹੁਕਮੈ ਜੇ ਬੁਝੈ ਤ ਹਉਮੈ ਕਹੈ ਨ ਕੋਇ ॥੨॥</t>
  </si>
  <si>
    <t>नानक हुकमै जे बुझै त हउमै कहै न कोइ ॥२॥</t>
  </si>
  <si>
    <t>Nānak hukmai je bujẖai ṯa ha▫umai kahai na ko▫e. ||2||</t>
  </si>
  <si>
    <t>O Nanak, one who understands His Command, does not speak in ego. ||2||</t>
  </si>
  <si>
    <t>ਗਾਵੈ ਕੋ ਤਾਣੁ ਹੋਵੈ ਕਿਸੈ ਤਾਣੁ ॥</t>
  </si>
  <si>
    <t>गावै को ताणु होवै किसै ताणु ॥</t>
  </si>
  <si>
    <t>Gāvai ko ṯāṇ hovai kisai ṯāṇ.</t>
  </si>
  <si>
    <t>Some sing of His Power-who has that Power?</t>
  </si>
  <si>
    <t>ਗਾਵੈ ਕੋ ਦਾਤਿ ਜਾਣੈ ਨੀਸਾਣੁ ॥</t>
  </si>
  <si>
    <t>गावै को दाति जाणै नीसाणु ॥</t>
  </si>
  <si>
    <t>Gāvai ko ḏāṯ jāṇai nīsāṇ.</t>
  </si>
  <si>
    <t>Some sing of His Gifts, and know His Sign and Insignia.</t>
  </si>
  <si>
    <t>ਗਾਵੈ ਕੋ ਗੁਣ ਵਡਿਆਈਆ ਚਾਰ ॥</t>
  </si>
  <si>
    <t>गावै को गुण वडिआईआ चार ॥</t>
  </si>
  <si>
    <t>Gāvai ko guṇ vaḏi▫ā▫ī▫ā cẖār.</t>
  </si>
  <si>
    <t>Some sing of His Glorious Virtues, Greatness and Beauty.</t>
  </si>
  <si>
    <t>ਗਾਵੈ ਕੋ ਵਿਦਿਆ ਵਿਖਮੁ ਵੀਚਾਰੁ ॥</t>
  </si>
  <si>
    <t>गावै को विदिआ विखमु वीचारु ॥</t>
  </si>
  <si>
    <t>Gāvai ko viḏi▫ā vikẖam vīcẖār.</t>
  </si>
  <si>
    <t>Some sing of knowledge obtained of Him, through difficult philosophical studies.</t>
  </si>
  <si>
    <t>ਗਾਵੈ ਕੋ ਸਾਜਿ ਕਰੇ ਤਨੁ ਖੇਹ ॥</t>
  </si>
  <si>
    <t>गावै को साजि करे तनु खेह ॥</t>
  </si>
  <si>
    <t>Gāvai ko sāj kare ṯan kẖeh.</t>
  </si>
  <si>
    <t>Some sing that He fashions the body, and then again reduces it to dust.</t>
  </si>
  <si>
    <t>ਗਾਵੈ ਕੋ ਜੀਅ ਲੈ ਫਿਰਿ ਦੇਹ ॥</t>
  </si>
  <si>
    <t>गावै को जीअ लै फिरि देह ॥</t>
  </si>
  <si>
    <t>Gāvai ko jī▫a lai fir ḏeh.</t>
  </si>
  <si>
    <t>Some sing that He takes life away, and then again restores it.</t>
  </si>
  <si>
    <t>ਗਾਵੈ ਕੋ ਜਾਪੈ ਦਿਸੈ ਦੂਰਿ ॥</t>
  </si>
  <si>
    <t>गावै को जापै दिसै दूरि ॥</t>
  </si>
  <si>
    <t>Gāvai ko jāpai ḏisai ḏūr.</t>
  </si>
  <si>
    <t>Some sing that He seems so very far away.</t>
  </si>
  <si>
    <t>awc-gp1</t>
  </si>
  <si>
    <t>awc-gp2</t>
  </si>
  <si>
    <t>awc-gp3</t>
  </si>
  <si>
    <t>awc-gp4</t>
  </si>
  <si>
    <t>awc-gp5</t>
  </si>
  <si>
    <t>awc-gp6</t>
  </si>
  <si>
    <t>awc-gp7</t>
  </si>
  <si>
    <t>awc-gp8</t>
  </si>
  <si>
    <t>awc-gp9</t>
  </si>
  <si>
    <t>awc-gp10</t>
  </si>
  <si>
    <t>awc-gp11</t>
  </si>
  <si>
    <t>awc-gp12</t>
  </si>
  <si>
    <t>awc-gp13</t>
  </si>
  <si>
    <t>awc-gp14</t>
  </si>
  <si>
    <t>awc-gp15</t>
  </si>
  <si>
    <t>awc-gp16</t>
  </si>
  <si>
    <t>awc-gp17</t>
  </si>
  <si>
    <t>awc-gp18</t>
  </si>
  <si>
    <t>awc-gp19</t>
  </si>
  <si>
    <t>awc-gp20</t>
  </si>
  <si>
    <t>awc-gp21</t>
  </si>
  <si>
    <t>ਸੁਣਿਐ ਦੂਖ ਪਾਪ ਕਾ ਨਾਸੁ ॥੯॥</t>
  </si>
  <si>
    <t>सुणिऐ दूख पाप का नासु ॥९॥</t>
  </si>
  <si>
    <t>Suṇi▫ai ḏūkẖ pāp kā nās. ||9||</t>
  </si>
  <si>
    <t>Listening-pain and sin are erased. ||9||</t>
  </si>
  <si>
    <t>ਸੁਣਿਐ ਸਤੁ ਸੰਤੋਖੁ ਗਿਆਨੁ ॥</t>
  </si>
  <si>
    <t>सुणिऐ सतु संतोखु गिआनु ॥</t>
  </si>
  <si>
    <t>Suṇi▫ai saṯ sanṯokẖ gi▫ān.</t>
  </si>
  <si>
    <t>Listening-truth, contentment and spiritual wisdom.</t>
  </si>
  <si>
    <t>ਸੁਣਿਐ ਅਠਸਠਿ ਕਾ ਇਸਨਾਨੁ ॥</t>
  </si>
  <si>
    <t>सुणिऐ अठसठि का इसनानु ॥</t>
  </si>
  <si>
    <t>Suṇi▫ai aṯẖsaṯẖ kā isnān.</t>
  </si>
  <si>
    <t>Listening-take your cleansing bath at the sixty-eight places of pilgrimage.</t>
  </si>
  <si>
    <t>ਸੁਣਿਐ ਪੜਿ ਪੜਿ ਪਾਵਹਿ ਮਾਨੁ ॥</t>
  </si>
  <si>
    <t>सुणिऐ पड़ि पड़ि पावहि मानु ॥</t>
  </si>
  <si>
    <t>Suṇi▫ai paṛ paṛ pāvahi mān.</t>
  </si>
  <si>
    <t>Listening-reading and reciting, honor is obtained.</t>
  </si>
  <si>
    <t>ਸੁਣਿਐ ਲਾਗੈ ਸਹਜਿ ਧਿਆਨੁ ॥</t>
  </si>
  <si>
    <t>सुणिऐ लागै सहजि धिआनु ॥</t>
  </si>
  <si>
    <t>Suṇi▫ai lāgai sahj ḏẖi▫ān.</t>
  </si>
  <si>
    <t>Listening-intuitively grasp the essence of meditation.</t>
  </si>
  <si>
    <t>ਸੁਣਿਐ ਦੂਖ ਪਾਪ ਕਾ ਨਾਸੁ ॥੧੦॥</t>
  </si>
  <si>
    <t>सुणिऐ दूख पाप का नासु ॥१०॥</t>
  </si>
  <si>
    <t>Suṇi▫ai ḏūkẖ pāp kā nās. ||10||</t>
  </si>
  <si>
    <t>Listening-pain and sin are erased. ||10||</t>
  </si>
  <si>
    <t>ਸੁਣਿਐ ਸਰਾ ਗੁਣਾ ਕੇ ਗਾਹ ॥</t>
  </si>
  <si>
    <t>सुणिऐ सरा गुणा के गाह ॥</t>
  </si>
  <si>
    <t>Suṇi▫ai sarā guṇā ke gāh.</t>
  </si>
  <si>
    <t>Listening-dive deep into the ocean of virtue.</t>
  </si>
  <si>
    <t>ਸੁਣਿਐ ਸੇਖ ਪੀਰ ਪਾਤਿਸਾਹ ॥</t>
  </si>
  <si>
    <t>सुणिऐ सेख पीर पातिसाह ॥</t>
  </si>
  <si>
    <t>Suṇi▫ai sekẖ pīr pāṯisāh.</t>
  </si>
  <si>
    <t>Listening-the Shaykhs, religious scholars, spiritual teachers and emperors.</t>
  </si>
  <si>
    <t>ਸੁਣਿਐ ਅੰਧੇ ਪਾਵਹਿ ਰਾਹੁ ॥</t>
  </si>
  <si>
    <t>सुणिऐ अंधे पावहि राहु ॥</t>
  </si>
  <si>
    <t>Suṇi▫ai anḏẖe pāvahi rāhu.</t>
  </si>
  <si>
    <t>Listening-even the blind find the Path.</t>
  </si>
  <si>
    <t>ਸੁਣਿਐ ਹਾਥ ਹੋਵੈ ਅਸਗਾਹੁ ॥</t>
  </si>
  <si>
    <t>सुणिऐ हाथ होवै असगाहु ॥</t>
  </si>
  <si>
    <t>Suṇi▫ai hāth hovai asgāhu.</t>
  </si>
  <si>
    <t>Listening-the Unreachable comes within your grasp.</t>
  </si>
  <si>
    <t>ਸੁਣਿਐ ਦੂਖ ਪਾਪ ਕਾ ਨਾਸੁ ॥੧੧॥</t>
  </si>
  <si>
    <t>सुणिऐ दूख पाप का नासु ॥११॥</t>
  </si>
  <si>
    <t>Suṇi▫ai ḏūkẖ pāp kā nās. ||11||</t>
  </si>
  <si>
    <t>Listening-pain and sin are erased. ||11||</t>
  </si>
  <si>
    <t>ਮੰਨੇ ਕੀ ਗਤਿ ਕਹੀ ਨ ਜਾਇ ॥</t>
  </si>
  <si>
    <t>मंने की गति कही न जाइ ॥</t>
  </si>
  <si>
    <t>Manne kī gaṯ kahī na jā▫e.</t>
  </si>
  <si>
    <t>The state of the faithful cannot be described.</t>
  </si>
  <si>
    <t>ਜੇ ਕੋ ਕਹੈ ਪਿਛੈ ਪਛੁਤਾਇ ॥</t>
  </si>
  <si>
    <t>जे को कहै पिछै पछुताइ ॥</t>
  </si>
  <si>
    <t>Je ko kahai picẖẖai pacẖẖuṯā▫e.</t>
  </si>
  <si>
    <t>One who tries to describe this shall regret the attempt.</t>
  </si>
  <si>
    <t>ਕਾਗਦਿ ਕਲਮ ਨ ਲਿਖਣਹਾਰੁ ॥</t>
  </si>
  <si>
    <t>कागदि कलम न लिखणहारु ॥</t>
  </si>
  <si>
    <t>Kāgaḏ kalam na likẖaṇhār.</t>
  </si>
  <si>
    <t>No paper, no pen, no scribe</t>
  </si>
  <si>
    <t>ਮੰਨੇ ਕਾ ਬਹਿ ਕਰਨਿ ਵੀਚਾਰੁ ॥</t>
  </si>
  <si>
    <t>मंने का बहि करनि वीचारु ॥</t>
  </si>
  <si>
    <t>Manne kā bahi karan vīcẖār.</t>
  </si>
  <si>
    <t>can record the state of the faithful.</t>
  </si>
  <si>
    <t>ਐਸਾ ਨਾਮੁ ਨਿਰੰਜਨੁ ਹੋਇ ॥</t>
  </si>
  <si>
    <t>ऐसा नामु निरंजनु होइ ॥</t>
  </si>
  <si>
    <t>Aisā nām niranjan ho▫e.</t>
  </si>
  <si>
    <t>Such is the Name of the Immaculate Lord.</t>
  </si>
  <si>
    <t>ਜੇ ਕੋ ਮੰਨਿ ਜਾਣੈ ਮਨਿ ਕੋਇ ॥੧੨॥</t>
  </si>
  <si>
    <t>जे को मंनि जाणै मनि कोइ ॥१२॥</t>
  </si>
  <si>
    <t>Je ko man jāṇai man ko▫e. ||12||</t>
  </si>
  <si>
    <t>Only one who has faith comes to know such a state of mind. ||12||</t>
  </si>
  <si>
    <t>ਮੰਨੈ ਸੁਰਤਿ ਹੋਵੈ ਮਨਿ ਬੁਧਿ ॥</t>
  </si>
  <si>
    <t>मंनै सुरति होवै मनि बुधि ॥</t>
  </si>
  <si>
    <t>Mannai suraṯ hovai man buḏẖ.</t>
  </si>
  <si>
    <t>The faithful have intuitive awareness and intelligence.</t>
  </si>
  <si>
    <t>ਮੰਨੈ ਸਗਲ ਭਵਣ ਕੀ ਸੁਧਿ ॥</t>
  </si>
  <si>
    <t>मंनै सगल भवण की सुधि ॥</t>
  </si>
  <si>
    <t>Mannai sagal bẖavaṇ kī suḏẖ.</t>
  </si>
  <si>
    <t>The faithful know about all worlds and realms.</t>
  </si>
  <si>
    <t>ਮੰਨੈ ਮੁਹਿ ਚੋਟਾ ਨਾ ਖਾਇ ॥</t>
  </si>
  <si>
    <t>मंनै मुहि चोटा ना खाइ ॥</t>
  </si>
  <si>
    <t>Mannai muhi cẖotā nā kẖā▫e.</t>
  </si>
  <si>
    <t>The faithful shall never be struck across the face.</t>
  </si>
  <si>
    <t>ਮੰਨੈ ਜਮ ਕੈ ਸਾਥਿ ਨ ਜਾਇ ॥</t>
  </si>
  <si>
    <t>मंनै जम कै साथि न जाइ ॥</t>
  </si>
  <si>
    <t>Mannai jam kai sāth na jā▫e.</t>
  </si>
  <si>
    <t>The faithful do not have to go with the Messenger of Death.</t>
  </si>
  <si>
    <t>ਜੇ ਕੋ ਮੰਨਿ ਜਾਣੈ ਮਨਿ ਕੋਇ ॥੧੩॥</t>
  </si>
  <si>
    <t>जे को मंनि जाणै मनि कोइ ॥१३॥</t>
  </si>
  <si>
    <t>Je ko man jāṇai man ko▫e. ||13||</t>
  </si>
  <si>
    <t>Only one who has faith comes to know such a state of mind. ||13||</t>
  </si>
  <si>
    <t>ਮੰਨੈ ਮਾਰਗਿ ਠਾਕ ਨ ਪਾਇ ॥</t>
  </si>
  <si>
    <t>मंनै मारगि ठाक न पाइ ॥</t>
  </si>
  <si>
    <t>Mannai mārag ṯẖāk na pā▫e.</t>
  </si>
  <si>
    <t>The path of the faithful shall never be blocked.</t>
  </si>
  <si>
    <t>ਮੰਨੈ ਪਤਿ ਸਿਉ ਪਰਗਟੁ ਜਾਇ ॥</t>
  </si>
  <si>
    <t>मंनै पति सिउ परगटु जाइ ॥</t>
  </si>
  <si>
    <t>Mannai paṯ si▫o pargat jā▫e.</t>
  </si>
  <si>
    <t>The faithful shall depart with honor and fame.</t>
  </si>
  <si>
    <t>ਮੰਨੈ ਮਗੁ ਨ ਚਲੈ ਪੰਥੁ ॥</t>
  </si>
  <si>
    <t>मंनै मगु न चलै पंथु ॥</t>
  </si>
  <si>
    <t>Mannai mag na cẖalai panth.</t>
  </si>
  <si>
    <t>The faithful do not follow empty religious rituals.</t>
  </si>
  <si>
    <t>ਮੰਨੈ ਧਰਮ ਸੇਤੀ ਸਨਬੰਧੁ ॥</t>
  </si>
  <si>
    <t>मंनै धरम सेती सनबंधु ॥</t>
  </si>
  <si>
    <t>Mannai ḏẖaram seṯī san▫banḏẖ.</t>
  </si>
  <si>
    <t>The faithful are firmly bound to the Dharma.</t>
  </si>
  <si>
    <t>ਜੇ ਕੋ ਮੰਨਿ ਜਾਣੈ ਮਨਿ ਕੋਇ ॥੧੪॥</t>
  </si>
  <si>
    <t>जे को मंनि जाणै मनि कोइ ॥१४॥</t>
  </si>
  <si>
    <t>Je ko man jāṇai man ko▫e. ||14||</t>
  </si>
  <si>
    <t>Only one who has faith comes to know such a state of mind. ||14||</t>
  </si>
  <si>
    <t>ਮੰਨੈ ਪਾਵਹਿ ਮੋਖੁ ਦੁਆਰੁ ॥</t>
  </si>
  <si>
    <t>मंनै पावहि मोखु दुआरु ॥</t>
  </si>
  <si>
    <t>Mannai pāvahi mokẖ ḏu▫ār.</t>
  </si>
  <si>
    <t>The faithful find the Door of Liberation.</t>
  </si>
  <si>
    <t>ਮੰਨੈ ਪਰਵਾਰੈ ਸਾਧਾਰੁ ॥</t>
  </si>
  <si>
    <t>मंनै परवारै साधारु ॥</t>
  </si>
  <si>
    <t>Mannai parvārai sāḏẖār.</t>
  </si>
  <si>
    <t>The faithful uplift and redeem their family and relations.</t>
  </si>
  <si>
    <t>ਮੰਨੈ ਤਰੈ ਤਾਰੇ ਗੁਰੁ ਸਿਖ ॥</t>
  </si>
  <si>
    <t>मंनै तरै तारे गुरु सिख ॥</t>
  </si>
  <si>
    <t>Mannai ṯarai ṯāre gur sikẖ.</t>
  </si>
  <si>
    <t>The faithful are saved, and carried across with the Sikhs of the Guru.</t>
  </si>
  <si>
    <t>ਮੰਨੈ ਨਾਨਕ ਭਵਹਿ ਨ ਭਿਖ ॥</t>
  </si>
  <si>
    <t>मंनै नानक भवहि न भिख ॥</t>
  </si>
  <si>
    <t>Mannai Nānak bẖavahi na bẖikẖ.</t>
  </si>
  <si>
    <t>The faithful, O Nanak, do not wander around begging.</t>
  </si>
  <si>
    <t>ਜੇ ਕੋ ਮੰਨਿ ਜਾਣੈ ਮਨਿ ਕੋਇ ॥੧੫॥</t>
  </si>
  <si>
    <t>जे को मंनि जाणै मनि कोइ ॥१५॥</t>
  </si>
  <si>
    <t>Je ko man jāṇai man ko▫e. ||15||</t>
  </si>
  <si>
    <t>Only one who has faith comes to know such a state of mind. ||15||</t>
  </si>
  <si>
    <t>ਪੰਚ ਪਰਵਾਣ ਪੰਚ ਪਰਧਾਨੁ ॥</t>
  </si>
  <si>
    <t>पंच परवाण पंच परधानु ॥</t>
  </si>
  <si>
    <t>Pancẖ parvāṇ pancẖ parḏẖān.</t>
  </si>
  <si>
    <t>The chosen ones, the self-elect, are accepted and approved.</t>
  </si>
  <si>
    <t>ਪੰਚੇ ਪਾਵਹਿ ਦਰਗਹਿ ਮਾਨੁ ॥</t>
  </si>
  <si>
    <t>पंचे पावहि दरगहि मानु ॥</t>
  </si>
  <si>
    <t>Pancẖe pāvahi ḏargahi mān.</t>
  </si>
  <si>
    <t>The chosen ones are honored in the Court of the Lord.</t>
  </si>
  <si>
    <t>ਪੰਚੇ ਸੋਹਹਿ ਦਰਿ ਰਾਜਾਨੁ ॥</t>
  </si>
  <si>
    <t>पंचे सोहहि दरि राजानु ॥</t>
  </si>
  <si>
    <t>Pancẖe sohahi ḏar rājān.</t>
  </si>
  <si>
    <t>The chosen ones look beautiful in the courts of kings.</t>
  </si>
  <si>
    <t>ਪੰਚਾ ਕਾ ਗੁਰੁ ਏਕੁ ਧਿਆਨੁ ॥</t>
  </si>
  <si>
    <t>पंचा का गुरु एकु धिआनु ॥</t>
  </si>
  <si>
    <t>Pancẖā kā gur ek ḏẖi▫ān.</t>
  </si>
  <si>
    <t>The chosen ones meditate single-mindedly on the Guru.</t>
  </si>
  <si>
    <t>ਜੇ ਕੋ ਕਹੈ ਕਰੈ ਵੀਚਾਰੁ ॥</t>
  </si>
  <si>
    <t>जे को कहै करै वीचारु ॥</t>
  </si>
  <si>
    <t>Je ko kahai karai vīcẖār.</t>
  </si>
  <si>
    <t>No matter how much anyone tries to explain and describe them,</t>
  </si>
  <si>
    <t>ਕਰਤੇ ਕੈ ਕਰਣੈ ਨਾਹੀ ਸੁਮਾਰੁ ॥</t>
  </si>
  <si>
    <t>करते कै करणै नाही सुमारु ॥</t>
  </si>
  <si>
    <t>Karṯe kai karṇai nāhī sumār.</t>
  </si>
  <si>
    <t>the actions of the Creator cannot be counted.</t>
  </si>
  <si>
    <t>ਧੌਲੁ ਧਰਮੁ ਦਇਆ ਕਾ ਪੂਤੁ ॥</t>
  </si>
  <si>
    <t>धौलु धरमु दइआ का पूतु ॥</t>
  </si>
  <si>
    <t>Ḏẖoul ḏẖaram ḏa▫i▫ā kā pūṯ.</t>
  </si>
  <si>
    <t>The mythical bull is Dharma, the son of compassion;</t>
  </si>
  <si>
    <t>ਸੰਤੋਖੁ ਥਾਪਿ ਰਖਿਆ ਜਿਨਿ ਸੂਤਿ ॥</t>
  </si>
  <si>
    <t>संतोखु थापि रखिआ जिनि सूति ॥</t>
  </si>
  <si>
    <t>Sanṯokẖ thāp rakẖi▫ā jin sūṯ.</t>
  </si>
  <si>
    <t>this is what patiently holds the earth in its place.</t>
  </si>
  <si>
    <t>ਜੇ ਕੋ ਬੁਝੈ ਹੋਵੈ ਸਚਿਆਰੁ ॥</t>
  </si>
  <si>
    <t>जे को बुझै होवै सचिआरु ॥</t>
  </si>
  <si>
    <t>Je ko bujẖai hovai sacẖiār.</t>
  </si>
  <si>
    <t>One who understands this becomes truthful.</t>
  </si>
  <si>
    <t>ਧਵਲੈ ਉਪਰਿ ਕੇਤਾ ਭਾਰੁ ॥</t>
  </si>
  <si>
    <t>धवलै उपरि केता भारु ॥</t>
  </si>
  <si>
    <t>Ḏẖavlai upar keṯā bẖār.</t>
  </si>
  <si>
    <t>What a great load there is on the bull!</t>
  </si>
  <si>
    <t>ਧਰਤੀ ਹੋਰੁ ਪਰੈ ਹੋਰੁ ਹੋਰੁ ॥</t>
  </si>
  <si>
    <t>धरती होरु परै होरु होरु ॥</t>
  </si>
  <si>
    <t>Ḏẖarṯī hor parai hor hor.</t>
  </si>
  <si>
    <t>So many worlds beyond this world-so very many!</t>
  </si>
  <si>
    <t>ਤਿਸ ਤੇ ਭਾਰੁ ਤਲੈ ਕਵਣੁ ਜੋਰੁ ॥</t>
  </si>
  <si>
    <t>तिस ते भारु तलै कवणु जोरु ॥</t>
  </si>
  <si>
    <t>Ŧis ṯe bẖār ṯalai kavaṇ jor.</t>
  </si>
  <si>
    <t>What power holds them, and supports their weight?</t>
  </si>
  <si>
    <t>ਜੀਅ ਜਾਤਿ ਰੰਗਾ ਕੇ ਨਾਵ ॥</t>
  </si>
  <si>
    <t>जीअ जाति रंगा के नाव ॥</t>
  </si>
  <si>
    <t>Jī▫a jāṯ rangā ke nāv.</t>
  </si>
  <si>
    <t>The names and the colors of the assorted species of beings</t>
  </si>
  <si>
    <t>ਸਭਨਾ ਲਿਖਿਆ ਵੁੜੀ ਕਲਾਮ ॥</t>
  </si>
  <si>
    <t>सभना लिखिआ वुड़ी कलाम ॥</t>
  </si>
  <si>
    <t>Sabẖnā likẖi▫ā vuṛī kalām.</t>
  </si>
  <si>
    <t>were all inscribed by the Ever-flowing Pen of God.</t>
  </si>
  <si>
    <t>ਏਹੁ ਲੇਖਾ ਲਿਖਿ ਜਾਣੈ ਕੋਇ ॥</t>
  </si>
  <si>
    <t>एहु लेखा लिखि जाणै कोइ ॥</t>
  </si>
  <si>
    <t>Ėhu lekẖā likẖ jāṇai ko▫e.</t>
  </si>
  <si>
    <t>Who knows how to write this account?</t>
  </si>
  <si>
    <t>ਲੇਖਾ ਲਿਖਿਆ ਕੇਤਾ ਹੋਇ ॥</t>
  </si>
  <si>
    <t>लेखा लिखिआ केता होइ ॥</t>
  </si>
  <si>
    <t>Lekẖā likẖi▫ā keṯā ho▫e.</t>
  </si>
  <si>
    <t>Just imagine what a huge scroll it would take!</t>
  </si>
  <si>
    <t>ਕੇਤਾ ਤਾਣੁ ਸੁਆਲਿਹੁ ਰੂਪੁ ॥</t>
  </si>
  <si>
    <t>केता ताणु सुआलिहु रूपु ॥</t>
  </si>
  <si>
    <t>Keṯā ṯāṇ su▫ālihu rūp.</t>
  </si>
  <si>
    <t>What power! What fascinating beauty!</t>
  </si>
  <si>
    <t>ਕੇਤੀ ਦਾਤਿ ਜਾਣੈ ਕੌਣੁ ਕੂਤੁ ॥</t>
  </si>
  <si>
    <t>केती दाति जाणै कौणु कूतु ॥</t>
  </si>
  <si>
    <t>Keṯī ḏāṯ jāṇai kouṇ kūṯ.</t>
  </si>
  <si>
    <t>And what gifts! Who can know their extent?</t>
  </si>
  <si>
    <t>ਕੀਤਾ ਪਸਾਉ ਏਕੋ ਕਵਾਉ ॥</t>
  </si>
  <si>
    <t>कीता पसाउ एको कवाउ ॥</t>
  </si>
  <si>
    <t>Kīṯā pasā▫o eko kavā▫o.</t>
  </si>
  <si>
    <t>You created the vast expanse of the Universe with One Word!</t>
  </si>
  <si>
    <t>ਤਿਸ ਤੇ ਹੋਏ ਲਖ ਦਰੀਆਉ ॥</t>
  </si>
  <si>
    <t>तिस ते होए लख दरीआउ ॥</t>
  </si>
  <si>
    <t>Ŧis ṯe ho▫e lakẖ ḏarī▫ā▫o.</t>
  </si>
  <si>
    <t>Hundreds of thousands of rivers began to flow.</t>
  </si>
  <si>
    <t>ਕੁਦਰਤਿ ਕਵਣ ਕਹਾ ਵੀਚਾਰੁ ॥</t>
  </si>
  <si>
    <t>कुदरति कवण कहा वीचारु ॥</t>
  </si>
  <si>
    <t>Kuḏraṯ kavaṇ kahā vīcẖār.</t>
  </si>
  <si>
    <t>How can Your Creative Potency be described?</t>
  </si>
  <si>
    <t>ਵਾਰਿਆ ਨ ਜਾਵਾ ਏਕ ਵਾਰ ॥</t>
  </si>
  <si>
    <t>वारिआ न जावा एक वार ॥</t>
  </si>
  <si>
    <t>vāri▫ā na jāvā ek vār.</t>
  </si>
  <si>
    <t>I cannot even once be a sacrifice to You.</t>
  </si>
  <si>
    <t>ਜੋ ਤੁਧੁ ਭਾਵੈ ਸਾਈ ਭਲੀ ਕਾਰ ॥</t>
  </si>
  <si>
    <t>जो तुधु भावै साई भली कार ॥</t>
  </si>
  <si>
    <t>Jo ṯuḏẖ bẖāvai sā▫ī bẖalī kār.</t>
  </si>
  <si>
    <t>Whatever pleases You is the only good done,</t>
  </si>
  <si>
    <t>ਤੂ ਸਦਾ ਸਲਾਮਤਿ ਨਿਰੰਕਾਰ ॥੧੬॥</t>
  </si>
  <si>
    <t>तू सदा सलामति निरंकार ॥१६॥</t>
  </si>
  <si>
    <t>Ŧū saḏā salāmaṯ nirankār. ||16||</t>
  </si>
  <si>
    <t>You, Eternal and Formless One! ||16||</t>
  </si>
  <si>
    <t>ਅਸੰਖ ਜਪ ਅਸੰਖ ਭਾਉ ॥</t>
  </si>
  <si>
    <t>असंख जप असंख भाउ ॥</t>
  </si>
  <si>
    <t>Asaŉkẖ jap asaŉkẖ bẖā▫o.</t>
  </si>
  <si>
    <t>Countless meditations, countless loves.</t>
  </si>
  <si>
    <t>ਅਸੰਖ ਪੂਜਾ ਅਸੰਖ ਤਪ ਤਾਉ ॥</t>
  </si>
  <si>
    <t>असंख पूजा असंख तप ताउ ॥</t>
  </si>
  <si>
    <t>Asaŉkẖ pūjā asaŉkẖ ṯap ṯā▫o.</t>
  </si>
  <si>
    <t>Countless worship services, countless austere disciplines.</t>
  </si>
  <si>
    <t>ਅਸੰਖ ਗਰੰਥ ਮੁਖਿ ਵੇਦ ਪਾਠ ॥</t>
  </si>
  <si>
    <t>असंख गरंथ मुखि वेद पाठ ॥</t>
  </si>
  <si>
    <t>Asaŉkẖ garanth mukẖ veḏ pāṯẖ.</t>
  </si>
  <si>
    <t>Countless scriptures, and ritual recitations of the Vedas.</t>
  </si>
  <si>
    <t>ਅਸੰਖ ਜੋਗ ਮਨਿ ਰਹਹਿ ਉਦਾਸ ॥</t>
  </si>
  <si>
    <t>असंख जोग मनि रहहि उदास ॥</t>
  </si>
  <si>
    <t>Asaŉkẖ jog man rahahi uḏās.</t>
  </si>
  <si>
    <t>Countless Yogis, whose minds remain detached from the world.</t>
  </si>
  <si>
    <t>awc-gp70</t>
  </si>
  <si>
    <t>awc-gp71</t>
  </si>
  <si>
    <t>awc-gp72</t>
  </si>
  <si>
    <t>awc-gp73</t>
  </si>
  <si>
    <t>awc-gp74</t>
  </si>
  <si>
    <t>awc-gp75</t>
  </si>
  <si>
    <t>awc-gp76</t>
  </si>
  <si>
    <t>awc-gp77</t>
  </si>
  <si>
    <t>awc-gp78</t>
  </si>
  <si>
    <t>awc-gp79</t>
  </si>
  <si>
    <t>awc-gp80</t>
  </si>
  <si>
    <t>awc-gp81</t>
  </si>
  <si>
    <t>awc-gp82</t>
  </si>
  <si>
    <t>awc-gp83</t>
  </si>
  <si>
    <t>awc-gp84</t>
  </si>
  <si>
    <t>awc-gp85</t>
  </si>
  <si>
    <t>awc-gp86</t>
  </si>
  <si>
    <t>awc-gp87</t>
  </si>
  <si>
    <t>awc-gp88</t>
  </si>
  <si>
    <t>awc-gp89</t>
  </si>
  <si>
    <t>awc-gp90</t>
  </si>
  <si>
    <t>awc-gp91</t>
  </si>
  <si>
    <t>awc-gp92</t>
  </si>
  <si>
    <t>awc-gp93</t>
  </si>
  <si>
    <t>awc-gp94</t>
  </si>
  <si>
    <t>awc-gp95</t>
  </si>
  <si>
    <t>awc-gp96</t>
  </si>
  <si>
    <t>awc-gp97</t>
  </si>
  <si>
    <t>awc-gp98</t>
  </si>
  <si>
    <t>awc-gp99</t>
  </si>
  <si>
    <t>awc-gp100</t>
  </si>
  <si>
    <t>awc-gp101</t>
  </si>
  <si>
    <t>awc-gp102</t>
  </si>
  <si>
    <t>awc-gp103</t>
  </si>
  <si>
    <t>awc-gp104</t>
  </si>
  <si>
    <t>awc-gp105</t>
  </si>
  <si>
    <t>awc-gp106</t>
  </si>
  <si>
    <t>awc-gp107</t>
  </si>
  <si>
    <t>awc-gp108</t>
  </si>
  <si>
    <t>awc-gp109</t>
  </si>
  <si>
    <t>awc-gp110</t>
  </si>
  <si>
    <t>awc-gp111</t>
  </si>
  <si>
    <t>awc-gp112</t>
  </si>
  <si>
    <t>awc-gp113</t>
  </si>
  <si>
    <t>awc-gp114</t>
  </si>
  <si>
    <t>awc-gp115</t>
  </si>
  <si>
    <t>awc-gp116</t>
  </si>
  <si>
    <t>awc-gp117</t>
  </si>
  <si>
    <t>awc-gp118</t>
  </si>
  <si>
    <t>awc-gp119</t>
  </si>
  <si>
    <t>awc-gp120</t>
  </si>
  <si>
    <t>awc-gp121</t>
  </si>
  <si>
    <t>awc-gp122</t>
  </si>
  <si>
    <t>awc-gp123</t>
  </si>
  <si>
    <t>awc-gp124</t>
  </si>
  <si>
    <t>awc-gp125</t>
  </si>
  <si>
    <t>awc-gp126</t>
  </si>
  <si>
    <t>awc-gp127</t>
  </si>
  <si>
    <t>awc-gp128</t>
  </si>
  <si>
    <t>awc-gp129</t>
  </si>
  <si>
    <t>awc-gp130</t>
  </si>
  <si>
    <t>awc-gp131</t>
  </si>
  <si>
    <t>awc-gp132</t>
  </si>
  <si>
    <t>awc-gp133</t>
  </si>
  <si>
    <t>awc-gp134</t>
  </si>
  <si>
    <t>awc-gp135</t>
  </si>
  <si>
    <t>awc-gp136</t>
  </si>
  <si>
    <t>awc-gp137</t>
  </si>
  <si>
    <t>awc-gp138</t>
  </si>
  <si>
    <t>awc-gp139</t>
  </si>
  <si>
    <t>awc-gp140</t>
  </si>
  <si>
    <t>tags</t>
  </si>
  <si>
    <t>ang</t>
  </si>
  <si>
    <t>Bani</t>
  </si>
  <si>
    <t xml:space="preserve">Shri Guru Nanak Dev Ji : SGGS : </t>
  </si>
  <si>
    <t>Ang 2 ||</t>
  </si>
  <si>
    <t>Ang 1 ||</t>
  </si>
  <si>
    <t>Ang 3 ||</t>
  </si>
  <si>
    <t>#gurbani #gurmat #gurugranthsahibji #devotion #satvichar #sikhi #arjanwebcraft</t>
  </si>
  <si>
    <t>chkd</t>
  </si>
  <si>
    <t>design</t>
  </si>
  <si>
    <t>ਅਸੰਖ ਭਗਤ ਗੁਣ ਗਿਆਨ ਵੀਚਾਰ ॥</t>
  </si>
  <si>
    <t>असंख भगत गुण गिआन वीचार ॥</t>
  </si>
  <si>
    <t>Asaŉkẖ bẖagaṯ guṇ gi▫ān vīcẖār.</t>
  </si>
  <si>
    <t>Countless devotees contemplate the Wisdom and Virtues of the Lord.</t>
  </si>
  <si>
    <t>ਅਸੰਖ ਸਤੀ ਅਸੰਖ ਦਾਤਾਰ ॥</t>
  </si>
  <si>
    <t>असंख सती असंख दातार ॥</t>
  </si>
  <si>
    <t>Asaŉkẖ saṯī asaŉkẖ ḏāṯār.</t>
  </si>
  <si>
    <t>Countless the holy, countless the givers.</t>
  </si>
  <si>
    <t>ਅਸੰਖ ਸੂਰ ਮੁਹ ਭਖ ਸਾਰ ॥</t>
  </si>
  <si>
    <t>असंख सूर मुह भख सार ॥</t>
  </si>
  <si>
    <t>Asaŉkẖ sūr muh bẖakẖ sār.</t>
  </si>
  <si>
    <t>Countless heroic spiritual warriors, who bear the brunt of the attack in battle (who with their mouths eat steel).</t>
  </si>
  <si>
    <t>ਅਸੰਖ ਮੋਨਿ ਲਿਵ ਲਾਇ ਤਾਰ ॥</t>
  </si>
  <si>
    <t>असंख मोनि लिव लाइ तार ॥</t>
  </si>
  <si>
    <t>Asaŉkẖ mon liv lā▫e ṯār.</t>
  </si>
  <si>
    <t>Countless silent sages, vibrating the String of His Love.</t>
  </si>
  <si>
    <t>ਤੂ ਸਦਾ ਸਲਾਮਤਿ ਨਿਰੰਕਾਰ ॥੧੭॥</t>
  </si>
  <si>
    <t>तू सदा सलामति निरंकार ॥१७॥</t>
  </si>
  <si>
    <t>Ŧū saḏā salāmaṯ nirankār. ||17||</t>
  </si>
  <si>
    <t>You, Eternal and Formless One. ||17||</t>
  </si>
  <si>
    <t>ਅਸੰਖ ਮੂਰਖ ਅੰਧ ਘੋਰ ॥</t>
  </si>
  <si>
    <t>असंख मूरख अंध घोर ॥</t>
  </si>
  <si>
    <t>Asaŉkẖ mūrakẖ anḏẖ gẖor.</t>
  </si>
  <si>
    <t>Countless fools, blinded by ignorance.</t>
  </si>
  <si>
    <t>ਅਸੰਖ ਚੋਰ ਹਰਾਮਖੋਰ ॥</t>
  </si>
  <si>
    <t>असंख चोर हरामखोर ॥</t>
  </si>
  <si>
    <t>Asaŉkẖ cẖor harāmkẖor.</t>
  </si>
  <si>
    <t>Countless thieves and embezzlers.</t>
  </si>
  <si>
    <t>ਅਸੰਖ ਅਮਰ ਕਰਿ ਜਾਹਿ ਜੋਰ ॥</t>
  </si>
  <si>
    <t>असंख अमर करि जाहि जोर ॥</t>
  </si>
  <si>
    <t>Asaŉkẖ amar kar jāhi jor.</t>
  </si>
  <si>
    <t>Countless impose their will by force.</t>
  </si>
  <si>
    <t>ਅਸੰਖ ਗਲਵਢ ਹਤਿਆ ਕਮਾਹਿ ॥</t>
  </si>
  <si>
    <t>असंख गलवढ हतिआ कमाहि ॥</t>
  </si>
  <si>
    <t>Asaŉkẖ galvadẖ haṯi▫ā kamāhi.</t>
  </si>
  <si>
    <t>Countless cut-throats and ruthless killers.</t>
  </si>
  <si>
    <t>ਅਸੰਖ ਪਾਪੀ ਪਾਪੁ ਕਰਿ ਜਾਹਿ ॥</t>
  </si>
  <si>
    <t>असंख पापी पापु करि जाहि ॥</t>
  </si>
  <si>
    <t>Asaŉkẖ pāpī pāp kar jāhi.</t>
  </si>
  <si>
    <t>Countless sinners who keep on sinning.</t>
  </si>
  <si>
    <t>ਅਸੰਖ ਕੂੜਿਆਰ ਕੂੜੇ ਫਿਰਾਹਿ ॥</t>
  </si>
  <si>
    <t>असंख कूड़िआर कूड़े फिराहि ॥</t>
  </si>
  <si>
    <t>Asaŉkẖ kūṛi▫ār kūṛe firāhi.</t>
  </si>
  <si>
    <t>Countless liars, wandering lost in their lies.</t>
  </si>
  <si>
    <t>ਅਸੰਖ ਮਲੇਛ ਮਲੁ ਭਖਿ ਖਾਹਿ ॥</t>
  </si>
  <si>
    <t>असंख मलेछ मलु भखि खाहि ॥</t>
  </si>
  <si>
    <t>Asaŉkẖ malecẖẖ mal bẖakẖ kẖāhi.</t>
  </si>
  <si>
    <t>Countless wretches, eating filth as their ration.</t>
  </si>
  <si>
    <t>ਅਸੰਖ ਨਿੰਦਕ ਸਿਰਿ ਕਰਹਿ ਭਾਰੁ ॥</t>
  </si>
  <si>
    <t>असंख निंदक सिरि करहि भारु ॥</t>
  </si>
  <si>
    <t>Asaŉkẖ ninḏak sir karahi bẖār.</t>
  </si>
  <si>
    <t>Countless slanderers, carrying the weight of their stupid mistakes on their heads.</t>
  </si>
  <si>
    <t>ਨਾਨਕੁ ਨੀਚੁ ਕਹੈ ਵੀਚਾਰੁ ॥</t>
  </si>
  <si>
    <t>नानकु नीचु कहै वीचारु ॥</t>
  </si>
  <si>
    <t>Nānak nīcẖ kahai vīcẖār.</t>
  </si>
  <si>
    <t>Nanak describes the state of the lowly.</t>
  </si>
  <si>
    <t>ਤੂ ਸਦਾ ਸਲਾਮਤਿ ਨਿਰੰਕਾਰ ॥੧੮॥</t>
  </si>
  <si>
    <t>तू सदा सलामति निरंकार ॥१८॥</t>
  </si>
  <si>
    <t>Ŧū saḏā salāmaṯ nirankār. ||18||</t>
  </si>
  <si>
    <t>You, Eternal and Formless One. ||18||</t>
  </si>
  <si>
    <t>ਅਸੰਖ ਨਾਵ ਅਸੰਖ ਥਾਵ ॥</t>
  </si>
  <si>
    <t>असंख नाव असंख थाव ॥</t>
  </si>
  <si>
    <t>Asaŉkẖ nāv asaŉkẖ thāv.</t>
  </si>
  <si>
    <t>Countless names, countless places.</t>
  </si>
  <si>
    <t>ਅਗੰਮ ਅਗੰਮ ਅਸੰਖ ਲੋਅ ॥</t>
  </si>
  <si>
    <t>अगम अगम असंख लोअ ॥</t>
  </si>
  <si>
    <t>Agamm agamm asaŉkẖ lo▫a.</t>
  </si>
  <si>
    <t>Inaccessible, unapproachable, countless celestial realms.</t>
  </si>
  <si>
    <t>ਅਸੰਖ ਕਹਹਿ ਸਿਰਿ ਭਾਰੁ ਹੋਇ ॥</t>
  </si>
  <si>
    <t>असंख कहहि सिरि भारु होइ ॥</t>
  </si>
  <si>
    <t>Asaŉkẖ kėhahi sir bẖār ho▫e.</t>
  </si>
  <si>
    <t>Even to call them countless is to carry the weight on your head.</t>
  </si>
  <si>
    <t>ਅਖਰੀ ਨਾਮੁ ਅਖਰੀ ਸਾਲਾਹ ॥</t>
  </si>
  <si>
    <t>अखरी नामु अखरी सालाह ॥</t>
  </si>
  <si>
    <t>Akẖrī nām akẖrī sālāh.</t>
  </si>
  <si>
    <t>From the Word, comes the Naam; from the Word, comes Your Praise.</t>
  </si>
  <si>
    <t>ਅਖਰੀ ਗਿਆਨੁ ਗੀਤ ਗੁਣ ਗਾਹ ॥</t>
  </si>
  <si>
    <t>अखरी गिआनु गीत गुण गाह ॥</t>
  </si>
  <si>
    <t>Akẖrī gi▫ān gīṯ guṇ gāh.</t>
  </si>
  <si>
    <t>From the Word, comes spiritual wisdom, singing the Songs of Your Glory.</t>
  </si>
  <si>
    <t>ਅਖਰੀ ਲਿਖਣੁ ਬੋਲਣੁ ਬਾਣਿ ॥</t>
  </si>
  <si>
    <t>अखरी लिखणु बोलणु बाणि ॥</t>
  </si>
  <si>
    <t>Akẖrī likẖaṇ bolaṇ bāṇ.</t>
  </si>
  <si>
    <t>From the Word, come the written and spoken words and hymns.</t>
  </si>
  <si>
    <t>ਅਖਰਾ ਸਿਰਿ ਸੰਜੋਗੁ ਵਖਾਣਿ ॥</t>
  </si>
  <si>
    <t>अखरा सिरि संजोगु वखाणि ॥</t>
  </si>
  <si>
    <t>Akẖrā sir sanjog vakẖāṇ.</t>
  </si>
  <si>
    <t>From the Word, comes destiny, written on one's forehead.</t>
  </si>
  <si>
    <t>ਜਿਨਿ ਏਹਿ ਲਿਖੇ ਤਿਸੁ ਸਿਰਿ ਨਾਹਿ ॥</t>
  </si>
  <si>
    <t>जिनि एहि लिखे तिसु सिरि नाहि ॥</t>
  </si>
  <si>
    <t>Jin ehi likẖe ṯis sir nāhi.</t>
  </si>
  <si>
    <t>But the One who wrote these Words of Destiny-no words are written on His Forehead.</t>
  </si>
  <si>
    <t>ਜਿਵ ਫੁਰਮਾਏ ਤਿਵ ਤਿਵ ਪਾਹਿ ॥</t>
  </si>
  <si>
    <t>जिव फुरमाए तिव तिव पाहि ॥</t>
  </si>
  <si>
    <t>Jiv furmā▫e ṯiv ṯiv pāhi.</t>
  </si>
  <si>
    <t>As He ordains, so do we receive.</t>
  </si>
  <si>
    <t>ਜੇਤਾ ਕੀਤਾ ਤੇਤਾ ਨਾਉ ॥</t>
  </si>
  <si>
    <t>जेता कीता तेता नाउ ॥</t>
  </si>
  <si>
    <t>Jeṯā kīṯā ṯeṯā nā▫o.</t>
  </si>
  <si>
    <t>The created universe is the manifestation of Your Name.</t>
  </si>
  <si>
    <t>ਵਿਣੁ ਨਾਵੈ ਨਾਹੀ ਕੋ ਥਾਉ ॥</t>
  </si>
  <si>
    <t>विणु नावै नाही को थाउ ॥</t>
  </si>
  <si>
    <t>viṇ nāvai nāhī ko thā▫o.</t>
  </si>
  <si>
    <t>Without Your Name, there is no place at all.</t>
  </si>
  <si>
    <t>How can I describe Your Creative Power?</t>
  </si>
  <si>
    <t>ਤੂ ਸਦਾ ਸਲਾਮਤਿ ਨਿਰੰਕਾਰ ॥੧੯॥</t>
  </si>
  <si>
    <t>तू सदा सलामति निरंकार ॥१९॥</t>
  </si>
  <si>
    <t>Ŧū saḏā salāmaṯ nirankār. ||19||</t>
  </si>
  <si>
    <t>You, Eternal and Formless One. ||19||</t>
  </si>
  <si>
    <t>ਭਰੀਐ ਹਥੁ ਪੈਰੁ ਤਨੁ ਦੇਹ ॥</t>
  </si>
  <si>
    <t>भरीऐ हथु पैरु तनु देह ॥</t>
  </si>
  <si>
    <t>Bẖarī▫ai hath pair ṯan ḏeh.</t>
  </si>
  <si>
    <t>When the hands and the feet and the body are dirty,</t>
  </si>
  <si>
    <t>ਪਾਣੀ ਧੋਤੈ ਉਤਰਸੁ ਖੇਹ ॥</t>
  </si>
  <si>
    <t>पाणी धोतै उतरसु खेह ॥</t>
  </si>
  <si>
    <t>Pāṇī ḏẖoṯai uṯras kẖeh.</t>
  </si>
  <si>
    <t>water can wash away the dirt.</t>
  </si>
  <si>
    <t>ਮੂਤ ਪਲੀਤੀ ਕਪੜੁ ਹੋਇ ॥</t>
  </si>
  <si>
    <t>मूत पलीती कपड़ु होइ ॥</t>
  </si>
  <si>
    <t>Mūṯ palīṯī kapaṛ ho▫e.</t>
  </si>
  <si>
    <t>When the clothes are soiled and stained by urine,</t>
  </si>
  <si>
    <t>ਦੇ ਸਾਬੂਣੁ ਲਈਐ ਓਹੁ ਧੋਇ ॥</t>
  </si>
  <si>
    <t>दे साबूणु लईऐ ओहु धोइ ॥</t>
  </si>
  <si>
    <t>Ḏe sābūṇ la▫ī▫ai oh ḏẖo▫e.</t>
  </si>
  <si>
    <t>soap can wash them clean.</t>
  </si>
  <si>
    <t>ਭਰੀਐ ਮਤਿ ਪਾਪਾ ਕੈ ਸੰਗਿ ॥</t>
  </si>
  <si>
    <t>भरीऐ मति पापा कै संगि ॥</t>
  </si>
  <si>
    <t>Bẖarī▫ai maṯ pāpā kai sang.</t>
  </si>
  <si>
    <t>But when the intellect is stained and polluted by sin,</t>
  </si>
  <si>
    <t>ਓਹੁ ਧੋਪੈ ਨਾਵੈ ਕੈ ਰੰਗਿ ॥</t>
  </si>
  <si>
    <t>ओहु धोपै नावै कै रंगि ॥</t>
  </si>
  <si>
    <t>Oh ḏẖopai nāvai kai rang.</t>
  </si>
  <si>
    <t>it can only be cleansed by the Love of the Name.</t>
  </si>
  <si>
    <t>ਪੁੰਨੀ ਪਾਪੀ ਆਖਣੁ ਨਾਹਿ ॥</t>
  </si>
  <si>
    <t>पुंनी पापी आखणु नाहि ॥</t>
  </si>
  <si>
    <t>Punnī pāpī ākẖaṇ nāhi.</t>
  </si>
  <si>
    <t>Virtue and vice do not come by mere words;</t>
  </si>
  <si>
    <t>ਕਰਿ ਕਰਿ ਕਰਣਾ ਲਿਖਿ ਲੈ ਜਾਹੁ ॥</t>
  </si>
  <si>
    <t>करि करि करणा लिखि लै जाहु ॥</t>
  </si>
  <si>
    <t>Kar kar karṇā likẖ lai jāhu.</t>
  </si>
  <si>
    <t>actions repeated, over and over again, are engraved on the soul.</t>
  </si>
  <si>
    <t>ਆਪੇ ਬੀਜਿ ਆਪੇ ਹੀ ਖਾਹੁ ॥</t>
  </si>
  <si>
    <t>आपे बीजि आपे ही खाहु ॥</t>
  </si>
  <si>
    <t>Āpe bīj āpe hī kẖāhu.</t>
  </si>
  <si>
    <t>You shall harvest what you plant.</t>
  </si>
  <si>
    <t>ਨਾਨਕ ਹੁਕਮੀ ਆਵਹੁ ਜਾਹੁ ॥੨੦॥</t>
  </si>
  <si>
    <t>नानक हुकमी आवहु जाहु ॥२०॥</t>
  </si>
  <si>
    <t>Nānak hukmī āvhu jāhu. ||20||</t>
  </si>
  <si>
    <t>O Nanak, by the Hukam of God's Command, we come and go in reincarnation. ||20||</t>
  </si>
  <si>
    <t>ਤੀਰਥੁ ਤਪੁ ਦਇਆ ਦਤੁ ਦਾਨੁ ॥</t>
  </si>
  <si>
    <t>तीरथु तपु दइआ दतु दानु ॥</t>
  </si>
  <si>
    <t>Ŧirath ṯap ḏa▫i▫ā ḏaṯ ḏān.</t>
  </si>
  <si>
    <t>Pilgrimages, austere discipline, compassion and charity -</t>
  </si>
  <si>
    <t>ਜੇ ਕੋ ਪਾਵੈ ਤਿਲ ਕਾ ਮਾਨੁ ॥</t>
  </si>
  <si>
    <t>जे को पावै तिल का मानु ॥</t>
  </si>
  <si>
    <t>Je ko pāvai ṯil kā mān.</t>
  </si>
  <si>
    <t>these, by themselves, bring only an iota of merit.</t>
  </si>
  <si>
    <t>ਸੁਣਿਆ ਮੰਨਿਆ ਮਨਿ ਕੀਤਾ ਭਾਉ ॥</t>
  </si>
  <si>
    <t>सुणिआ मंनिआ मनि कीता भाउ ॥</t>
  </si>
  <si>
    <t>Suṇi▫ā mani▫ā man kīṯā bẖā▫o.</t>
  </si>
  <si>
    <t>Listening and believing with love and humility in your mind,</t>
  </si>
  <si>
    <t>ਅੰਤਰਗਤਿ ਤੀਰਥਿ ਮਲਿ ਨਾਉ ॥</t>
  </si>
  <si>
    <t>अंतरगति तीरथि मलि नाउ ॥</t>
  </si>
  <si>
    <t>Anṯargaṯ ṯirath mal nā▫o.</t>
  </si>
  <si>
    <t>cleanse yourself with the Name, at the sacred shrine deep within.</t>
  </si>
  <si>
    <t>ਸਭਿ ਗੁਣ ਤੇਰੇ ਮੈ ਨਾਹੀ ਕੋਇ ॥</t>
  </si>
  <si>
    <t>सभि गुण तेरे मै नाही कोइ ॥</t>
  </si>
  <si>
    <t>Sabẖ guṇ ṯere mai nāhī ko▫e.</t>
  </si>
  <si>
    <t>All virtues are Yours, Lord, I have none at all.</t>
  </si>
  <si>
    <t>ਵਿਣੁ ਗੁਣ ਕੀਤੇ ਭਗਤਿ ਨ ਹੋਇ ॥</t>
  </si>
  <si>
    <t>विणु गुण कीते भगति न होइ ॥</t>
  </si>
  <si>
    <t>viṇ guṇ kīṯe bẖagaṯ na ho▫e.</t>
  </si>
  <si>
    <t>Without virtue, there is no devotional worship.</t>
  </si>
  <si>
    <t>ਸੁਅਸਤਿ ਆਥਿ ਬਾਣੀ ਬਰਮਾਉ ॥</t>
  </si>
  <si>
    <t>सुअसति आथि बाणी बरमाउ ॥</t>
  </si>
  <si>
    <t>Su▫asaṯ āth baṇī barmā▫o.</t>
  </si>
  <si>
    <t>I bow to the Lord of the World, to His Word, to Brahma the Creator.</t>
  </si>
  <si>
    <t>ਸਤਿ ਸੁਹਾਣੁ ਸਦਾ ਮਨਿ ਚਾਉ ॥</t>
  </si>
  <si>
    <t>सति सुहाणु सदा मनि चाउ ॥</t>
  </si>
  <si>
    <t>Saṯ suhāṇ saḏā man cẖā▫o.</t>
  </si>
  <si>
    <t>He is Beautiful, True and Eternally Joyful.</t>
  </si>
  <si>
    <t>ਕਵਣੁ ਸੁ ਵੇਲਾ ਵਖਤੁ ਕਵਣੁ ਕਵਣ ਥਿਤਿ ਕਵਣੁ ਵਾਰੁ ॥</t>
  </si>
  <si>
    <t>कवणु सु वेला वखतु कवणु कवण थिति कवणु वारु ॥</t>
  </si>
  <si>
    <t>Kavaṇ so velā vakẖaṯ kavaṇ kavaṇ thiṯ kavaṇ vār.</t>
  </si>
  <si>
    <t>What was that time, and what was that moment? What was that day, and what was that date?</t>
  </si>
  <si>
    <t>ਕਵਣਿ ਸਿ ਰੁਤੀ ਮਾਹੁ ਕਵਣੁ ਜਿਤੁ ਹੋਆ ਆਕਾਰੁ ॥</t>
  </si>
  <si>
    <t>कवणि सि रुती माहु कवणु जितु होआ आकारु ॥</t>
  </si>
  <si>
    <t>Kavaṇ sė ruṯī māhu kavaṇ jiṯ ho▫ā ākār.</t>
  </si>
  <si>
    <t>What was that season, and what was that month, when the Universe was created?</t>
  </si>
  <si>
    <t>ਵੇਲ ਨ ਪਾਈਆ ਪੰਡਤੀ ਜਿ ਹੋਵੈ ਲੇਖੁ ਪੁਰਾਣੁ ॥</t>
  </si>
  <si>
    <t>वेल न पाईआ पंडती जि होवै लेखु पुराणु ॥</t>
  </si>
  <si>
    <t>vel na pā▫ī▫ā pandṯī jė hovai lekẖ purāṇ.</t>
  </si>
  <si>
    <t>The Pandits, the religious scholars, cannot find that time, even if it is written in the Puraanas.</t>
  </si>
  <si>
    <t>ਵਖਤੁ ਨ ਪਾਇਓ ਕਾਦੀਆ ਜਿ ਲਿਖਨਿ ਲੇਖੁ ਕੁਰਾਣੁ ॥</t>
  </si>
  <si>
    <t>वखतु न पाइओ कादीआ जि लिखनि लेखु कुराणु ॥</t>
  </si>
  <si>
    <t>vakẖaṯ na pā▫i▫o kāḏī▫ā jė likẖan lekẖ kurāṇ.</t>
  </si>
  <si>
    <t>That time is not known to the Qazis, who study the Koran.</t>
  </si>
  <si>
    <t>ਥਿਤਿ ਵਾਰੁ ਨਾ ਜੋਗੀ ਜਾਣੈ ਰੁਤਿ ਮਾਹੁ ਨਾ ਕੋਈ ॥</t>
  </si>
  <si>
    <t>थिति वारु ना जोगी जाणै रुति माहु ना कोई ॥</t>
  </si>
  <si>
    <t>Thiṯ vār nā jogī jāṇai ruṯ māhu nā ko▫ī.</t>
  </si>
  <si>
    <t>The day and the date are not known to the Yogis, nor is the month or the season.</t>
  </si>
  <si>
    <t>ਜਾ ਕਰਤਾ ਸਿਰਠੀ ਕਉ ਸਾਜੇ ਆਪੇ ਜਾਣੈ ਸੋਈ ॥</t>
  </si>
  <si>
    <t>जा करता सिरठी कउ साजे आपे जाणै सोई ॥</t>
  </si>
  <si>
    <t>Jā karṯā sirṯẖī ka▫o sāje āpe jāṇai so▫ī.</t>
  </si>
  <si>
    <t>The Creator who created this creation-only He Himself knows.</t>
  </si>
  <si>
    <t>ਕਿਵ ਕਰਿ ਆਖਾ ਕਿਵ ਸਾਲਾਹੀ ਕਿਉ ਵਰਨੀ ਕਿਵ ਜਾਣਾ ॥</t>
  </si>
  <si>
    <t>किव करि आखा किव सालाही किउ वरनी किव जाणा ॥</t>
  </si>
  <si>
    <t>Kiv kar ākẖā kiv sālāhī ki▫o varnī kiv jāṇā.</t>
  </si>
  <si>
    <t>How can we speak of Him? How can we praise Him? How can we describe Him? How can we know Him?</t>
  </si>
  <si>
    <t>Ang 4 ||</t>
  </si>
  <si>
    <t>awc-gp141</t>
  </si>
  <si>
    <t>awc-gp142</t>
  </si>
  <si>
    <t>awc-gp143</t>
  </si>
  <si>
    <t>awc-gp144</t>
  </si>
  <si>
    <t>awc-gp145</t>
  </si>
  <si>
    <t>awc-gp146</t>
  </si>
  <si>
    <t>awc-gp147</t>
  </si>
  <si>
    <t>awc-gp148</t>
  </si>
  <si>
    <t>awc-gp149</t>
  </si>
  <si>
    <t>awc-gp150</t>
  </si>
  <si>
    <t>awc-gp151</t>
  </si>
  <si>
    <t>awc-gp152</t>
  </si>
  <si>
    <t>awc-gp153</t>
  </si>
  <si>
    <t>awc-gp154</t>
  </si>
  <si>
    <t>awc-gp155</t>
  </si>
  <si>
    <t>awc-gp156</t>
  </si>
  <si>
    <t>awc-gp157</t>
  </si>
  <si>
    <t>awc-gp158</t>
  </si>
  <si>
    <t>awc-gp159</t>
  </si>
  <si>
    <t>awc-gp160</t>
  </si>
  <si>
    <t>awc-gp161</t>
  </si>
  <si>
    <t>awc-gp162</t>
  </si>
  <si>
    <t>awc-gp163</t>
  </si>
  <si>
    <t>awc-gp164</t>
  </si>
  <si>
    <t>awc-gp165</t>
  </si>
  <si>
    <t>awc-gp166</t>
  </si>
  <si>
    <t>awc-gp167</t>
  </si>
  <si>
    <t>awc-gp168</t>
  </si>
  <si>
    <t>awc-gp169</t>
  </si>
  <si>
    <t>awc-gp170</t>
  </si>
  <si>
    <t>awc-gp171</t>
  </si>
  <si>
    <t>awc-gp172</t>
  </si>
  <si>
    <t>awc-gp173</t>
  </si>
  <si>
    <t>awc-gp174</t>
  </si>
  <si>
    <t>awc-gp175</t>
  </si>
  <si>
    <t>awc-gp176</t>
  </si>
  <si>
    <t>awc-gp177</t>
  </si>
  <si>
    <t>awc-gp178</t>
  </si>
  <si>
    <t>awc-gp179</t>
  </si>
  <si>
    <t>awc-gp180</t>
  </si>
  <si>
    <t>awc-gp181</t>
  </si>
  <si>
    <t>awc-gp182</t>
  </si>
  <si>
    <t>awc-gp183</t>
  </si>
  <si>
    <t>awc-gp184</t>
  </si>
  <si>
    <t>awc-gp185</t>
  </si>
  <si>
    <t>awc-gp186</t>
  </si>
  <si>
    <t>awc-gp187</t>
  </si>
  <si>
    <t>awc-gp188</t>
  </si>
  <si>
    <t>awc-gp189</t>
  </si>
  <si>
    <t>awc-gp190</t>
  </si>
  <si>
    <t>awc-gp191</t>
  </si>
  <si>
    <t>awc-gp192</t>
  </si>
  <si>
    <t>awc-gp193</t>
  </si>
  <si>
    <t>awc-gp194</t>
  </si>
  <si>
    <t>awc-gp195</t>
  </si>
  <si>
    <t>awc-gp196</t>
  </si>
  <si>
    <t>awc-gp197</t>
  </si>
  <si>
    <t>awc-gp198</t>
  </si>
  <si>
    <t>awc-gp199</t>
  </si>
  <si>
    <t>awc-gp200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</si>
</sst>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800000"/>
      <name val="AnmolUniPr"/>
    </font>
    <font>
      <sz val="12"/>
      <color rgb="FF008080"/>
      <name val="Aptos Narrow"/>
      <family val="2"/>
      <scheme val="minor"/>
    </font>
    <font>
      <sz val="12"/>
      <color theme="1"/>
      <name val="Tahoma"/>
      <family val="2"/>
    </font>
    <font>
      <sz val="12"/>
      <color rgb="FF000080"/>
      <name val="Tahoma"/>
      <family val="2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 Unicode MS"/>
      <family val="2"/>
    </font>
    <font>
      <sz val="11"/>
      <color theme="1"/>
      <name val="Arial"/>
      <family val="2"/>
    </font>
    <font>
      <sz val="12"/>
      <color rgb="FF00808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2" fillId="0" borderId="0" xfId="0" applyFont="1"/>
    <xf numFmtId="0" fontId="11" fillId="0" borderId="0" xfId="0" applyFont="1"/>
    <xf numFmtId="0" fontId="4" fillId="0" borderId="0" xfId="0" applyFont="1"/>
    <xf numFmtId="0" fontId="5" fillId="0" borderId="0" xfId="0" applyFont="1"/>
    <xf numFmtId="0" fontId="10" fillId="0" borderId="0" xfId="0" applyFont="1"/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B35AE5-236A-4447-A599-B09F7BE50CB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BnxaXnybu01bh-jECYwC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749B-534E-47DC-9123-E17DB17AB29F}">
  <dimension ref="A1:K203"/>
  <sheetViews>
    <sheetView tabSelected="1" zoomScale="125" workbookViewId="0">
      <pane xSplit="5" ySplit="1" topLeftCell="F34" activePane="bottomRight" state="frozen"/>
      <selection pane="topRight" activeCell="F1" sqref="F1"/>
      <selection pane="bottomLeft" activeCell="A2" sqref="A2"/>
      <selection pane="bottomRight" activeCell="C38" sqref="C38"/>
    </sheetView>
  </sheetViews>
  <sheetFormatPr baseColWidth="10" defaultColWidth="5.6640625" defaultRowHeight="15"/>
  <cols>
    <col min="1" max="1" width="8.33203125" style="7" bestFit="1" customWidth="1"/>
    <col min="2" max="2" width="6.5" style="7" bestFit="1" customWidth="1"/>
    <col min="3" max="3" width="8.6640625" style="7" bestFit="1" customWidth="1"/>
    <col min="4" max="4" width="10.6640625" style="14" bestFit="1" customWidth="1"/>
    <col min="5" max="5" width="10.1640625" style="14" bestFit="1" customWidth="1"/>
    <col min="6" max="6" width="28.5" style="10" customWidth="1"/>
    <col min="7" max="7" width="30.1640625" style="10" customWidth="1"/>
    <col min="8" max="8" width="41.5" style="10" bestFit="1" customWidth="1"/>
    <col min="9" max="9" width="20.83203125" style="10" bestFit="1" customWidth="1"/>
    <col min="10" max="10" width="7.83203125" style="8" bestFit="1" customWidth="1"/>
    <col min="11" max="11" width="27.33203125" style="10" bestFit="1" customWidth="1"/>
    <col min="12" max="16384" width="5.6640625" style="8"/>
  </cols>
  <sheetData>
    <row r="1" spans="1:11" ht="22">
      <c r="A1" s="11" t="s">
        <v>672</v>
      </c>
      <c r="B1" s="11" t="s">
        <v>671</v>
      </c>
      <c r="C1" s="11" t="s">
        <v>189</v>
      </c>
      <c r="D1" s="11" t="s">
        <v>184</v>
      </c>
      <c r="E1" s="11" t="s">
        <v>185</v>
      </c>
      <c r="F1" s="12" t="s">
        <v>186</v>
      </c>
      <c r="G1" s="12" t="s">
        <v>187</v>
      </c>
      <c r="H1" s="12" t="s">
        <v>188</v>
      </c>
      <c r="I1" s="15" t="s">
        <v>665</v>
      </c>
      <c r="J1" s="11" t="s">
        <v>664</v>
      </c>
      <c r="K1" s="12" t="s">
        <v>663</v>
      </c>
    </row>
    <row r="2" spans="1:11" ht="68">
      <c r="A2" s="7" t="s">
        <v>238</v>
      </c>
      <c r="B2" s="7" t="s">
        <v>238</v>
      </c>
      <c r="C2" s="7" t="s">
        <v>238</v>
      </c>
      <c r="D2" s="13"/>
      <c r="F2" s="9" t="s">
        <v>239</v>
      </c>
      <c r="G2" s="9" t="s">
        <v>240</v>
      </c>
      <c r="H2" s="9" t="s">
        <v>242</v>
      </c>
      <c r="I2" s="10" t="s">
        <v>666</v>
      </c>
      <c r="J2" s="8" t="s">
        <v>668</v>
      </c>
      <c r="K2" s="10" t="s">
        <v>670</v>
      </c>
    </row>
    <row r="3" spans="1:11" ht="48">
      <c r="A3" s="7" t="s">
        <v>238</v>
      </c>
      <c r="B3" s="7" t="s">
        <v>238</v>
      </c>
      <c r="C3" s="7" t="s">
        <v>238</v>
      </c>
      <c r="D3" s="13"/>
      <c r="F3" s="9" t="s">
        <v>243</v>
      </c>
      <c r="G3" s="9" t="s">
        <v>244</v>
      </c>
      <c r="H3" s="9" t="s">
        <v>246</v>
      </c>
      <c r="I3" s="10" t="s">
        <v>666</v>
      </c>
      <c r="J3" s="8" t="s">
        <v>668</v>
      </c>
      <c r="K3" s="10" t="s">
        <v>670</v>
      </c>
    </row>
    <row r="4" spans="1:11" ht="48">
      <c r="A4" s="7" t="s">
        <v>238</v>
      </c>
      <c r="B4" s="7" t="s">
        <v>238</v>
      </c>
      <c r="C4" s="7" t="s">
        <v>238</v>
      </c>
      <c r="D4" s="13">
        <v>45440</v>
      </c>
      <c r="E4" s="14" t="s">
        <v>331</v>
      </c>
      <c r="F4" s="9" t="s">
        <v>247</v>
      </c>
      <c r="G4" s="9" t="s">
        <v>248</v>
      </c>
      <c r="H4" s="9" t="s">
        <v>250</v>
      </c>
      <c r="I4" s="10" t="s">
        <v>666</v>
      </c>
      <c r="J4" s="8" t="s">
        <v>668</v>
      </c>
      <c r="K4" s="10" t="s">
        <v>670</v>
      </c>
    </row>
    <row r="5" spans="1:11" ht="48">
      <c r="A5" s="7" t="s">
        <v>238</v>
      </c>
      <c r="B5" s="7" t="s">
        <v>238</v>
      </c>
      <c r="C5" s="7" t="s">
        <v>238</v>
      </c>
      <c r="D5" s="13">
        <v>45441</v>
      </c>
      <c r="E5" s="14" t="s">
        <v>332</v>
      </c>
      <c r="F5" s="9" t="s">
        <v>251</v>
      </c>
      <c r="G5" s="9" t="s">
        <v>252</v>
      </c>
      <c r="H5" s="9" t="s">
        <v>254</v>
      </c>
      <c r="I5" s="10" t="s">
        <v>666</v>
      </c>
      <c r="J5" s="8" t="s">
        <v>668</v>
      </c>
      <c r="K5" s="10" t="s">
        <v>670</v>
      </c>
    </row>
    <row r="6" spans="1:11" ht="48">
      <c r="A6" s="7" t="s">
        <v>238</v>
      </c>
      <c r="B6" s="7" t="s">
        <v>238</v>
      </c>
      <c r="C6" s="7" t="s">
        <v>238</v>
      </c>
      <c r="D6" s="13">
        <v>45442</v>
      </c>
      <c r="E6" s="14" t="s">
        <v>333</v>
      </c>
      <c r="F6" s="9" t="s">
        <v>255</v>
      </c>
      <c r="G6" s="9" t="s">
        <v>256</v>
      </c>
      <c r="H6" s="9" t="s">
        <v>258</v>
      </c>
      <c r="I6" s="10" t="s">
        <v>666</v>
      </c>
      <c r="J6" s="8" t="s">
        <v>668</v>
      </c>
      <c r="K6" s="10" t="s">
        <v>670</v>
      </c>
    </row>
    <row r="7" spans="1:11" ht="48">
      <c r="A7" s="7" t="s">
        <v>238</v>
      </c>
      <c r="B7" s="7" t="s">
        <v>238</v>
      </c>
      <c r="C7" s="7" t="s">
        <v>238</v>
      </c>
      <c r="D7" s="13">
        <v>45443</v>
      </c>
      <c r="E7" s="14" t="s">
        <v>334</v>
      </c>
      <c r="F7" s="9" t="s">
        <v>259</v>
      </c>
      <c r="G7" s="9" t="s">
        <v>260</v>
      </c>
      <c r="H7" s="9" t="s">
        <v>262</v>
      </c>
      <c r="I7" s="10" t="s">
        <v>666</v>
      </c>
      <c r="J7" s="8" t="s">
        <v>668</v>
      </c>
      <c r="K7" s="10" t="s">
        <v>670</v>
      </c>
    </row>
    <row r="8" spans="1:11" ht="48">
      <c r="A8" s="7" t="s">
        <v>238</v>
      </c>
      <c r="B8" s="7" t="s">
        <v>238</v>
      </c>
      <c r="C8" s="7" t="s">
        <v>238</v>
      </c>
      <c r="D8" s="13">
        <v>45444</v>
      </c>
      <c r="E8" s="14" t="s">
        <v>335</v>
      </c>
      <c r="F8" s="9" t="s">
        <v>263</v>
      </c>
      <c r="G8" s="9" t="s">
        <v>264</v>
      </c>
      <c r="H8" s="9" t="s">
        <v>266</v>
      </c>
      <c r="I8" s="10" t="s">
        <v>666</v>
      </c>
      <c r="J8" s="8" t="s">
        <v>668</v>
      </c>
      <c r="K8" s="10" t="s">
        <v>670</v>
      </c>
    </row>
    <row r="9" spans="1:11" ht="48">
      <c r="A9" s="7" t="s">
        <v>238</v>
      </c>
      <c r="B9" s="7" t="s">
        <v>238</v>
      </c>
      <c r="C9" s="7" t="s">
        <v>238</v>
      </c>
      <c r="D9" s="13">
        <v>45445</v>
      </c>
      <c r="E9" s="14" t="s">
        <v>336</v>
      </c>
      <c r="F9" s="9" t="s">
        <v>267</v>
      </c>
      <c r="G9" s="9" t="s">
        <v>268</v>
      </c>
      <c r="H9" s="9" t="s">
        <v>270</v>
      </c>
      <c r="I9" s="10" t="s">
        <v>666</v>
      </c>
      <c r="J9" s="8" t="s">
        <v>668</v>
      </c>
      <c r="K9" s="10" t="s">
        <v>670</v>
      </c>
    </row>
    <row r="10" spans="1:11" ht="48">
      <c r="A10" s="7" t="s">
        <v>238</v>
      </c>
      <c r="B10" s="7" t="s">
        <v>238</v>
      </c>
      <c r="C10" s="7" t="s">
        <v>238</v>
      </c>
      <c r="D10" s="13">
        <v>45446</v>
      </c>
      <c r="E10" s="14" t="s">
        <v>337</v>
      </c>
      <c r="F10" s="9" t="s">
        <v>271</v>
      </c>
      <c r="G10" s="9" t="s">
        <v>272</v>
      </c>
      <c r="H10" s="9" t="s">
        <v>274</v>
      </c>
      <c r="I10" s="10" t="s">
        <v>666</v>
      </c>
      <c r="J10" s="8" t="s">
        <v>668</v>
      </c>
      <c r="K10" s="10" t="s">
        <v>670</v>
      </c>
    </row>
    <row r="11" spans="1:11" ht="51">
      <c r="A11" s="7" t="s">
        <v>238</v>
      </c>
      <c r="B11" s="7" t="s">
        <v>238</v>
      </c>
      <c r="C11" s="7" t="s">
        <v>238</v>
      </c>
      <c r="D11" s="13">
        <v>45447</v>
      </c>
      <c r="E11" s="14" t="s">
        <v>338</v>
      </c>
      <c r="F11" s="9" t="s">
        <v>275</v>
      </c>
      <c r="G11" s="9" t="s">
        <v>276</v>
      </c>
      <c r="H11" s="9" t="s">
        <v>278</v>
      </c>
      <c r="I11" s="10" t="s">
        <v>666</v>
      </c>
      <c r="J11" s="8" t="s">
        <v>668</v>
      </c>
      <c r="K11" s="10" t="s">
        <v>670</v>
      </c>
    </row>
    <row r="12" spans="1:11" ht="48">
      <c r="A12" s="7" t="s">
        <v>238</v>
      </c>
      <c r="B12" s="7" t="s">
        <v>238</v>
      </c>
      <c r="C12" s="7" t="s">
        <v>238</v>
      </c>
      <c r="D12" s="13">
        <v>45448</v>
      </c>
      <c r="E12" s="14" t="s">
        <v>339</v>
      </c>
      <c r="F12" s="9" t="s">
        <v>279</v>
      </c>
      <c r="G12" s="9" t="s">
        <v>280</v>
      </c>
      <c r="H12" s="9" t="s">
        <v>282</v>
      </c>
      <c r="I12" s="10" t="s">
        <v>666</v>
      </c>
      <c r="J12" s="8" t="s">
        <v>668</v>
      </c>
      <c r="K12" s="10" t="s">
        <v>670</v>
      </c>
    </row>
    <row r="13" spans="1:11" ht="48">
      <c r="A13" s="7" t="s">
        <v>238</v>
      </c>
      <c r="B13" s="7" t="s">
        <v>238</v>
      </c>
      <c r="C13" s="7" t="s">
        <v>238</v>
      </c>
      <c r="D13" s="13">
        <v>45449</v>
      </c>
      <c r="E13" s="14" t="s">
        <v>340</v>
      </c>
      <c r="F13" s="9" t="s">
        <v>283</v>
      </c>
      <c r="G13" s="9" t="s">
        <v>284</v>
      </c>
      <c r="H13" s="9" t="s">
        <v>286</v>
      </c>
      <c r="I13" s="10" t="s">
        <v>666</v>
      </c>
      <c r="J13" s="8" t="s">
        <v>668</v>
      </c>
      <c r="K13" s="10" t="s">
        <v>670</v>
      </c>
    </row>
    <row r="14" spans="1:11" ht="51">
      <c r="A14" s="7" t="s">
        <v>238</v>
      </c>
      <c r="B14" s="7" t="s">
        <v>238</v>
      </c>
      <c r="C14" s="7" t="s">
        <v>238</v>
      </c>
      <c r="D14" s="13">
        <v>45450</v>
      </c>
      <c r="E14" s="14" t="s">
        <v>341</v>
      </c>
      <c r="F14" s="9" t="s">
        <v>287</v>
      </c>
      <c r="G14" s="9" t="s">
        <v>288</v>
      </c>
      <c r="H14" s="9" t="s">
        <v>290</v>
      </c>
      <c r="I14" s="10" t="s">
        <v>666</v>
      </c>
      <c r="J14" s="8" t="s">
        <v>668</v>
      </c>
      <c r="K14" s="10" t="s">
        <v>670</v>
      </c>
    </row>
    <row r="15" spans="1:11" ht="51">
      <c r="A15" s="7" t="s">
        <v>238</v>
      </c>
      <c r="B15" s="7" t="s">
        <v>238</v>
      </c>
      <c r="C15" s="7" t="s">
        <v>238</v>
      </c>
      <c r="D15" s="13">
        <v>45451</v>
      </c>
      <c r="E15" s="14" t="s">
        <v>342</v>
      </c>
      <c r="F15" s="9" t="s">
        <v>291</v>
      </c>
      <c r="G15" s="9" t="s">
        <v>292</v>
      </c>
      <c r="H15" s="9" t="s">
        <v>294</v>
      </c>
      <c r="I15" s="10" t="s">
        <v>666</v>
      </c>
      <c r="J15" s="8" t="s">
        <v>668</v>
      </c>
      <c r="K15" s="10" t="s">
        <v>670</v>
      </c>
    </row>
    <row r="16" spans="1:11" ht="48">
      <c r="A16" s="7" t="s">
        <v>238</v>
      </c>
      <c r="B16" s="7" t="s">
        <v>238</v>
      </c>
      <c r="C16" s="7" t="s">
        <v>238</v>
      </c>
      <c r="D16" s="13">
        <v>45452</v>
      </c>
      <c r="E16" s="14" t="s">
        <v>343</v>
      </c>
      <c r="F16" s="9" t="s">
        <v>295</v>
      </c>
      <c r="G16" s="9" t="s">
        <v>296</v>
      </c>
      <c r="H16" s="9" t="s">
        <v>298</v>
      </c>
      <c r="I16" s="10" t="s">
        <v>666</v>
      </c>
      <c r="J16" s="8" t="s">
        <v>668</v>
      </c>
      <c r="K16" s="10" t="s">
        <v>670</v>
      </c>
    </row>
    <row r="17" spans="1:11" ht="48">
      <c r="A17" s="7" t="s">
        <v>238</v>
      </c>
      <c r="B17" s="7" t="s">
        <v>238</v>
      </c>
      <c r="C17" s="7" t="s">
        <v>238</v>
      </c>
      <c r="D17" s="13">
        <v>45453</v>
      </c>
      <c r="E17" s="14" t="s">
        <v>344</v>
      </c>
      <c r="F17" s="9" t="s">
        <v>299</v>
      </c>
      <c r="G17" s="9" t="s">
        <v>300</v>
      </c>
      <c r="H17" s="9" t="s">
        <v>302</v>
      </c>
      <c r="I17" s="10" t="s">
        <v>666</v>
      </c>
      <c r="J17" s="8" t="s">
        <v>668</v>
      </c>
      <c r="K17" s="10" t="s">
        <v>670</v>
      </c>
    </row>
    <row r="18" spans="1:11" ht="48">
      <c r="A18" s="7" t="s">
        <v>238</v>
      </c>
      <c r="B18" s="7" t="s">
        <v>238</v>
      </c>
      <c r="C18" s="7" t="s">
        <v>238</v>
      </c>
      <c r="D18" s="13">
        <v>45454</v>
      </c>
      <c r="E18" s="14" t="s">
        <v>345</v>
      </c>
      <c r="F18" s="9" t="s">
        <v>303</v>
      </c>
      <c r="G18" s="9" t="s">
        <v>304</v>
      </c>
      <c r="H18" s="9" t="s">
        <v>306</v>
      </c>
      <c r="I18" s="10" t="s">
        <v>666</v>
      </c>
      <c r="J18" s="8" t="s">
        <v>668</v>
      </c>
      <c r="K18" s="10" t="s">
        <v>670</v>
      </c>
    </row>
    <row r="19" spans="1:11" ht="48">
      <c r="A19" s="7" t="s">
        <v>238</v>
      </c>
      <c r="B19" s="7" t="s">
        <v>238</v>
      </c>
      <c r="C19" s="7" t="s">
        <v>238</v>
      </c>
      <c r="D19" s="13">
        <v>45455</v>
      </c>
      <c r="E19" s="14" t="s">
        <v>346</v>
      </c>
      <c r="F19" s="9" t="s">
        <v>307</v>
      </c>
      <c r="G19" s="9" t="s">
        <v>308</v>
      </c>
      <c r="H19" s="9" t="s">
        <v>310</v>
      </c>
      <c r="I19" s="10" t="s">
        <v>666</v>
      </c>
      <c r="J19" s="8" t="s">
        <v>668</v>
      </c>
      <c r="K19" s="10" t="s">
        <v>670</v>
      </c>
    </row>
    <row r="20" spans="1:11" ht="48">
      <c r="A20" s="7" t="s">
        <v>238</v>
      </c>
      <c r="B20" s="7" t="s">
        <v>238</v>
      </c>
      <c r="C20" s="7" t="s">
        <v>238</v>
      </c>
      <c r="D20" s="13">
        <v>45456</v>
      </c>
      <c r="E20" s="14" t="s">
        <v>347</v>
      </c>
      <c r="F20" s="9" t="s">
        <v>311</v>
      </c>
      <c r="G20" s="9" t="s">
        <v>312</v>
      </c>
      <c r="H20" s="9" t="s">
        <v>314</v>
      </c>
      <c r="I20" s="10" t="s">
        <v>666</v>
      </c>
      <c r="J20" s="8" t="s">
        <v>668</v>
      </c>
      <c r="K20" s="10" t="s">
        <v>670</v>
      </c>
    </row>
    <row r="21" spans="1:11" ht="48">
      <c r="A21" s="7" t="s">
        <v>238</v>
      </c>
      <c r="B21" s="7" t="s">
        <v>238</v>
      </c>
      <c r="C21" s="7" t="s">
        <v>238</v>
      </c>
      <c r="D21" s="13">
        <v>45457</v>
      </c>
      <c r="E21" s="14" t="s">
        <v>348</v>
      </c>
      <c r="F21" s="9" t="s">
        <v>315</v>
      </c>
      <c r="G21" s="9" t="s">
        <v>316</v>
      </c>
      <c r="H21" s="9" t="s">
        <v>318</v>
      </c>
      <c r="I21" s="10" t="s">
        <v>666</v>
      </c>
      <c r="J21" s="8" t="s">
        <v>668</v>
      </c>
      <c r="K21" s="10" t="s">
        <v>670</v>
      </c>
    </row>
    <row r="22" spans="1:11" ht="48">
      <c r="A22" s="7" t="s">
        <v>238</v>
      </c>
      <c r="B22" s="7" t="s">
        <v>238</v>
      </c>
      <c r="C22" s="7" t="s">
        <v>238</v>
      </c>
      <c r="D22" s="13">
        <v>45458</v>
      </c>
      <c r="E22" s="14" t="s">
        <v>349</v>
      </c>
      <c r="F22" s="9" t="s">
        <v>319</v>
      </c>
      <c r="G22" s="9" t="s">
        <v>320</v>
      </c>
      <c r="H22" s="9" t="s">
        <v>322</v>
      </c>
      <c r="I22" s="10" t="s">
        <v>666</v>
      </c>
      <c r="J22" s="8" t="s">
        <v>668</v>
      </c>
      <c r="K22" s="10" t="s">
        <v>670</v>
      </c>
    </row>
    <row r="23" spans="1:11" ht="48">
      <c r="A23" s="7" t="s">
        <v>238</v>
      </c>
      <c r="B23" s="7" t="s">
        <v>238</v>
      </c>
      <c r="C23" s="7" t="s">
        <v>238</v>
      </c>
      <c r="D23" s="13">
        <v>45459</v>
      </c>
      <c r="E23" s="14" t="s">
        <v>350</v>
      </c>
      <c r="F23" s="9" t="s">
        <v>323</v>
      </c>
      <c r="G23" s="9" t="s">
        <v>324</v>
      </c>
      <c r="H23" s="9" t="s">
        <v>326</v>
      </c>
      <c r="I23" s="10" t="s">
        <v>666</v>
      </c>
      <c r="J23" s="8" t="s">
        <v>668</v>
      </c>
      <c r="K23" s="10" t="s">
        <v>670</v>
      </c>
    </row>
    <row r="24" spans="1:11" ht="48">
      <c r="A24" s="7" t="s">
        <v>238</v>
      </c>
      <c r="B24" s="7" t="s">
        <v>238</v>
      </c>
      <c r="C24" s="7" t="s">
        <v>238</v>
      </c>
      <c r="D24" s="13">
        <v>45460</v>
      </c>
      <c r="E24" s="14" t="s">
        <v>351</v>
      </c>
      <c r="F24" s="9" t="s">
        <v>327</v>
      </c>
      <c r="G24" s="9" t="s">
        <v>328</v>
      </c>
      <c r="H24" s="9" t="s">
        <v>330</v>
      </c>
      <c r="I24" s="10" t="s">
        <v>666</v>
      </c>
      <c r="J24" s="8" t="s">
        <v>668</v>
      </c>
      <c r="K24" s="10" t="s">
        <v>670</v>
      </c>
    </row>
    <row r="25" spans="1:11" ht="48">
      <c r="A25" s="7" t="s">
        <v>238</v>
      </c>
      <c r="B25" s="7" t="s">
        <v>238</v>
      </c>
      <c r="C25" s="7" t="s">
        <v>238</v>
      </c>
      <c r="D25" s="13">
        <v>45461</v>
      </c>
      <c r="E25" s="14" t="s">
        <v>192</v>
      </c>
      <c r="F25" s="9" t="s">
        <v>0</v>
      </c>
      <c r="G25" s="9" t="s">
        <v>1</v>
      </c>
      <c r="H25" s="9" t="s">
        <v>3</v>
      </c>
      <c r="I25" s="10" t="s">
        <v>666</v>
      </c>
      <c r="J25" s="8" t="s">
        <v>667</v>
      </c>
      <c r="K25" s="10" t="s">
        <v>670</v>
      </c>
    </row>
    <row r="26" spans="1:11" ht="48">
      <c r="A26" s="7" t="s">
        <v>238</v>
      </c>
      <c r="B26" s="7" t="s">
        <v>238</v>
      </c>
      <c r="C26" s="7" t="s">
        <v>238</v>
      </c>
      <c r="D26" s="13">
        <v>45462</v>
      </c>
      <c r="E26" s="14" t="s">
        <v>193</v>
      </c>
      <c r="F26" s="9" t="s">
        <v>4</v>
      </c>
      <c r="G26" s="9" t="s">
        <v>5</v>
      </c>
      <c r="H26" s="9" t="s">
        <v>7</v>
      </c>
      <c r="I26" s="10" t="s">
        <v>666</v>
      </c>
      <c r="J26" s="8" t="s">
        <v>667</v>
      </c>
      <c r="K26" s="10" t="s">
        <v>670</v>
      </c>
    </row>
    <row r="27" spans="1:11" ht="48">
      <c r="A27" s="7" t="s">
        <v>238</v>
      </c>
      <c r="B27" s="7" t="s">
        <v>238</v>
      </c>
      <c r="C27" s="7" t="s">
        <v>238</v>
      </c>
      <c r="D27" s="13">
        <v>45463</v>
      </c>
      <c r="E27" s="14" t="s">
        <v>194</v>
      </c>
      <c r="F27" s="9" t="s">
        <v>8</v>
      </c>
      <c r="G27" s="9" t="s">
        <v>9</v>
      </c>
      <c r="H27" s="9" t="s">
        <v>11</v>
      </c>
      <c r="I27" s="10" t="s">
        <v>666</v>
      </c>
      <c r="J27" s="8" t="s">
        <v>667</v>
      </c>
      <c r="K27" s="10" t="s">
        <v>670</v>
      </c>
    </row>
    <row r="28" spans="1:11" ht="48">
      <c r="A28" s="7" t="s">
        <v>238</v>
      </c>
      <c r="B28" s="7" t="s">
        <v>238</v>
      </c>
      <c r="C28" s="7" t="s">
        <v>238</v>
      </c>
      <c r="D28" s="13">
        <v>45464</v>
      </c>
      <c r="E28" s="14" t="s">
        <v>195</v>
      </c>
      <c r="F28" s="9" t="s">
        <v>12</v>
      </c>
      <c r="G28" s="9" t="s">
        <v>13</v>
      </c>
      <c r="H28" s="9" t="s">
        <v>15</v>
      </c>
      <c r="I28" s="10" t="s">
        <v>666</v>
      </c>
      <c r="J28" s="8" t="s">
        <v>667</v>
      </c>
      <c r="K28" s="10" t="s">
        <v>670</v>
      </c>
    </row>
    <row r="29" spans="1:11" ht="48">
      <c r="A29" s="7" t="s">
        <v>238</v>
      </c>
      <c r="B29" s="7" t="s">
        <v>238</v>
      </c>
      <c r="C29" s="7" t="s">
        <v>238</v>
      </c>
      <c r="D29" s="13">
        <v>45465</v>
      </c>
      <c r="E29" s="14" t="s">
        <v>196</v>
      </c>
      <c r="F29" s="9" t="s">
        <v>16</v>
      </c>
      <c r="G29" s="9" t="s">
        <v>17</v>
      </c>
      <c r="H29" s="9" t="s">
        <v>19</v>
      </c>
      <c r="I29" s="10" t="s">
        <v>666</v>
      </c>
      <c r="J29" s="8" t="s">
        <v>667</v>
      </c>
      <c r="K29" s="10" t="s">
        <v>670</v>
      </c>
    </row>
    <row r="30" spans="1:11" ht="48">
      <c r="A30" s="7" t="s">
        <v>238</v>
      </c>
      <c r="B30" s="7" t="s">
        <v>238</v>
      </c>
      <c r="C30" s="7" t="s">
        <v>238</v>
      </c>
      <c r="D30" s="13">
        <v>45466</v>
      </c>
      <c r="E30" s="14" t="s">
        <v>197</v>
      </c>
      <c r="F30" s="9" t="s">
        <v>20</v>
      </c>
      <c r="G30" s="9" t="s">
        <v>21</v>
      </c>
      <c r="H30" s="9" t="s">
        <v>23</v>
      </c>
      <c r="I30" s="10" t="s">
        <v>666</v>
      </c>
      <c r="J30" s="8" t="s">
        <v>667</v>
      </c>
      <c r="K30" s="10" t="s">
        <v>670</v>
      </c>
    </row>
    <row r="31" spans="1:11" ht="48">
      <c r="A31" s="7" t="s">
        <v>238</v>
      </c>
      <c r="B31" s="7" t="s">
        <v>238</v>
      </c>
      <c r="C31" s="7" t="s">
        <v>238</v>
      </c>
      <c r="D31" s="13">
        <v>45467</v>
      </c>
      <c r="E31" s="14" t="s">
        <v>198</v>
      </c>
      <c r="F31" s="9" t="s">
        <v>24</v>
      </c>
      <c r="G31" s="9" t="s">
        <v>25</v>
      </c>
      <c r="H31" s="9" t="s">
        <v>27</v>
      </c>
      <c r="I31" s="10" t="s">
        <v>666</v>
      </c>
      <c r="J31" s="8" t="s">
        <v>667</v>
      </c>
      <c r="K31" s="10" t="s">
        <v>670</v>
      </c>
    </row>
    <row r="32" spans="1:11" ht="48">
      <c r="A32" s="7" t="s">
        <v>238</v>
      </c>
      <c r="B32" s="7" t="s">
        <v>238</v>
      </c>
      <c r="C32" s="7" t="s">
        <v>238</v>
      </c>
      <c r="D32" s="13">
        <v>45468</v>
      </c>
      <c r="E32" s="14" t="s">
        <v>199</v>
      </c>
      <c r="F32" s="9" t="s">
        <v>28</v>
      </c>
      <c r="G32" s="9" t="s">
        <v>29</v>
      </c>
      <c r="H32" s="9" t="s">
        <v>31</v>
      </c>
      <c r="I32" s="10" t="s">
        <v>666</v>
      </c>
      <c r="J32" s="8" t="s">
        <v>667</v>
      </c>
      <c r="K32" s="10" t="s">
        <v>670</v>
      </c>
    </row>
    <row r="33" spans="1:11" ht="48">
      <c r="A33" s="7" t="s">
        <v>238</v>
      </c>
      <c r="B33" s="7" t="s">
        <v>238</v>
      </c>
      <c r="C33" s="7" t="s">
        <v>238</v>
      </c>
      <c r="D33" s="13">
        <v>45469</v>
      </c>
      <c r="E33" s="14" t="s">
        <v>200</v>
      </c>
      <c r="F33" s="9" t="s">
        <v>32</v>
      </c>
      <c r="G33" s="9" t="s">
        <v>33</v>
      </c>
      <c r="H33" s="9" t="s">
        <v>35</v>
      </c>
      <c r="I33" s="10" t="s">
        <v>666</v>
      </c>
      <c r="J33" s="8" t="s">
        <v>667</v>
      </c>
      <c r="K33" s="10" t="s">
        <v>670</v>
      </c>
    </row>
    <row r="34" spans="1:11" ht="48">
      <c r="A34" s="7" t="s">
        <v>238</v>
      </c>
      <c r="B34" s="7" t="s">
        <v>238</v>
      </c>
      <c r="C34" s="7" t="s">
        <v>238</v>
      </c>
      <c r="D34" s="13">
        <v>45470</v>
      </c>
      <c r="E34" s="14" t="s">
        <v>201</v>
      </c>
      <c r="F34" s="9" t="s">
        <v>36</v>
      </c>
      <c r="G34" s="9" t="s">
        <v>37</v>
      </c>
      <c r="H34" s="9" t="s">
        <v>39</v>
      </c>
      <c r="I34" s="10" t="s">
        <v>666</v>
      </c>
      <c r="J34" s="8" t="s">
        <v>667</v>
      </c>
      <c r="K34" s="10" t="s">
        <v>670</v>
      </c>
    </row>
    <row r="35" spans="1:11" ht="48">
      <c r="A35" s="7" t="s">
        <v>238</v>
      </c>
      <c r="B35" s="7" t="s">
        <v>238</v>
      </c>
      <c r="C35" s="7" t="s">
        <v>238</v>
      </c>
      <c r="D35" s="13">
        <v>45471</v>
      </c>
      <c r="E35" s="14" t="s">
        <v>191</v>
      </c>
      <c r="F35" s="9" t="s">
        <v>40</v>
      </c>
      <c r="G35" s="9" t="s">
        <v>41</v>
      </c>
      <c r="H35" s="9" t="s">
        <v>43</v>
      </c>
      <c r="I35" s="10" t="s">
        <v>666</v>
      </c>
      <c r="J35" s="8" t="s">
        <v>667</v>
      </c>
      <c r="K35" s="10" t="s">
        <v>670</v>
      </c>
    </row>
    <row r="36" spans="1:11" ht="51">
      <c r="A36" s="7" t="s">
        <v>238</v>
      </c>
      <c r="B36" s="7" t="s">
        <v>238</v>
      </c>
      <c r="C36" s="7" t="s">
        <v>238</v>
      </c>
      <c r="D36" s="13">
        <v>45472</v>
      </c>
      <c r="E36" s="14" t="s">
        <v>190</v>
      </c>
      <c r="F36" s="9" t="s">
        <v>44</v>
      </c>
      <c r="G36" s="9" t="s">
        <v>45</v>
      </c>
      <c r="H36" s="9" t="s">
        <v>47</v>
      </c>
      <c r="I36" s="10" t="s">
        <v>666</v>
      </c>
      <c r="J36" s="8" t="s">
        <v>667</v>
      </c>
      <c r="K36" s="10" t="s">
        <v>670</v>
      </c>
    </row>
    <row r="37" spans="1:11" ht="51">
      <c r="A37" s="7" t="s">
        <v>238</v>
      </c>
      <c r="B37" s="7" t="s">
        <v>238</v>
      </c>
      <c r="D37" s="13">
        <v>45473</v>
      </c>
      <c r="E37" s="14" t="s">
        <v>202</v>
      </c>
      <c r="F37" s="9" t="s">
        <v>48</v>
      </c>
      <c r="G37" s="9" t="s">
        <v>49</v>
      </c>
      <c r="H37" s="9" t="s">
        <v>51</v>
      </c>
      <c r="I37" s="10" t="s">
        <v>666</v>
      </c>
      <c r="J37" s="8" t="s">
        <v>667</v>
      </c>
      <c r="K37" s="10" t="s">
        <v>670</v>
      </c>
    </row>
    <row r="38" spans="1:11" ht="48">
      <c r="D38" s="13">
        <v>45474</v>
      </c>
      <c r="E38" s="14" t="s">
        <v>203</v>
      </c>
      <c r="F38" s="9" t="s">
        <v>52</v>
      </c>
      <c r="G38" s="9" t="s">
        <v>53</v>
      </c>
      <c r="H38" s="9" t="s">
        <v>55</v>
      </c>
      <c r="I38" s="10" t="s">
        <v>666</v>
      </c>
      <c r="J38" s="8" t="s">
        <v>667</v>
      </c>
      <c r="K38" s="10" t="s">
        <v>670</v>
      </c>
    </row>
    <row r="39" spans="1:11" ht="48">
      <c r="D39" s="13">
        <v>45475</v>
      </c>
      <c r="E39" s="14" t="s">
        <v>204</v>
      </c>
      <c r="F39" s="9" t="s">
        <v>56</v>
      </c>
      <c r="G39" s="9" t="s">
        <v>57</v>
      </c>
      <c r="H39" s="9" t="s">
        <v>59</v>
      </c>
      <c r="I39" s="10" t="s">
        <v>666</v>
      </c>
      <c r="J39" s="8" t="s">
        <v>667</v>
      </c>
      <c r="K39" s="10" t="s">
        <v>670</v>
      </c>
    </row>
    <row r="40" spans="1:11" ht="48">
      <c r="D40" s="13">
        <v>45476</v>
      </c>
      <c r="E40" s="14" t="s">
        <v>205</v>
      </c>
      <c r="F40" s="9" t="s">
        <v>60</v>
      </c>
      <c r="G40" s="9" t="s">
        <v>61</v>
      </c>
      <c r="H40" s="9" t="s">
        <v>63</v>
      </c>
      <c r="I40" s="10" t="s">
        <v>666</v>
      </c>
      <c r="J40" s="8" t="s">
        <v>667</v>
      </c>
      <c r="K40" s="10" t="s">
        <v>670</v>
      </c>
    </row>
    <row r="41" spans="1:11" ht="48">
      <c r="D41" s="13">
        <v>45477</v>
      </c>
      <c r="E41" s="14" t="s">
        <v>206</v>
      </c>
      <c r="F41" s="9" t="s">
        <v>64</v>
      </c>
      <c r="G41" s="9" t="s">
        <v>65</v>
      </c>
      <c r="H41" s="9" t="s">
        <v>67</v>
      </c>
      <c r="I41" s="10" t="s">
        <v>666</v>
      </c>
      <c r="J41" s="8" t="s">
        <v>667</v>
      </c>
      <c r="K41" s="10" t="s">
        <v>670</v>
      </c>
    </row>
    <row r="42" spans="1:11" ht="48">
      <c r="D42" s="13">
        <v>45478</v>
      </c>
      <c r="E42" s="14" t="s">
        <v>207</v>
      </c>
      <c r="F42" s="9" t="s">
        <v>68</v>
      </c>
      <c r="G42" s="9" t="s">
        <v>69</v>
      </c>
      <c r="H42" s="9" t="s">
        <v>71</v>
      </c>
      <c r="I42" s="10" t="s">
        <v>666</v>
      </c>
      <c r="J42" s="8" t="s">
        <v>667</v>
      </c>
      <c r="K42" s="10" t="s">
        <v>670</v>
      </c>
    </row>
    <row r="43" spans="1:11" ht="48">
      <c r="D43" s="13">
        <v>45479</v>
      </c>
      <c r="E43" s="14" t="s">
        <v>208</v>
      </c>
      <c r="F43" s="9" t="s">
        <v>72</v>
      </c>
      <c r="G43" s="9" t="s">
        <v>73</v>
      </c>
      <c r="H43" s="9" t="s">
        <v>75</v>
      </c>
      <c r="I43" s="10" t="s">
        <v>666</v>
      </c>
      <c r="J43" s="8" t="s">
        <v>667</v>
      </c>
      <c r="K43" s="10" t="s">
        <v>670</v>
      </c>
    </row>
    <row r="44" spans="1:11" ht="48">
      <c r="D44" s="13">
        <v>45480</v>
      </c>
      <c r="E44" s="14" t="s">
        <v>209</v>
      </c>
      <c r="F44" s="9" t="s">
        <v>76</v>
      </c>
      <c r="G44" s="9" t="s">
        <v>77</v>
      </c>
      <c r="H44" s="9" t="s">
        <v>79</v>
      </c>
      <c r="I44" s="10" t="s">
        <v>666</v>
      </c>
      <c r="J44" s="8" t="s">
        <v>667</v>
      </c>
      <c r="K44" s="10" t="s">
        <v>670</v>
      </c>
    </row>
    <row r="45" spans="1:11" ht="51">
      <c r="D45" s="13">
        <v>45481</v>
      </c>
      <c r="E45" s="14" t="s">
        <v>210</v>
      </c>
      <c r="F45" s="9" t="s">
        <v>80</v>
      </c>
      <c r="G45" s="9" t="s">
        <v>81</v>
      </c>
      <c r="H45" s="9" t="s">
        <v>83</v>
      </c>
      <c r="I45" s="10" t="s">
        <v>666</v>
      </c>
      <c r="J45" s="8" t="s">
        <v>667</v>
      </c>
      <c r="K45" s="10" t="s">
        <v>670</v>
      </c>
    </row>
    <row r="46" spans="1:11" ht="48">
      <c r="D46" s="13">
        <v>45482</v>
      </c>
      <c r="E46" s="14" t="s">
        <v>211</v>
      </c>
      <c r="F46" s="9" t="s">
        <v>84</v>
      </c>
      <c r="G46" s="9" t="s">
        <v>85</v>
      </c>
      <c r="H46" s="9" t="s">
        <v>87</v>
      </c>
      <c r="I46" s="10" t="s">
        <v>666</v>
      </c>
      <c r="J46" s="8" t="s">
        <v>667</v>
      </c>
      <c r="K46" s="10" t="s">
        <v>670</v>
      </c>
    </row>
    <row r="47" spans="1:11" ht="48">
      <c r="D47" s="13">
        <v>45483</v>
      </c>
      <c r="E47" s="14" t="s">
        <v>212</v>
      </c>
      <c r="F47" s="9" t="s">
        <v>88</v>
      </c>
      <c r="G47" s="9" t="s">
        <v>89</v>
      </c>
      <c r="H47" s="9" t="s">
        <v>91</v>
      </c>
      <c r="I47" s="10" t="s">
        <v>666</v>
      </c>
      <c r="J47" s="8" t="s">
        <v>667</v>
      </c>
      <c r="K47" s="10" t="s">
        <v>670</v>
      </c>
    </row>
    <row r="48" spans="1:11" ht="48">
      <c r="D48" s="13">
        <v>45484</v>
      </c>
      <c r="E48" s="14" t="s">
        <v>213</v>
      </c>
      <c r="F48" s="9" t="s">
        <v>92</v>
      </c>
      <c r="G48" s="9" t="s">
        <v>93</v>
      </c>
      <c r="H48" s="9" t="s">
        <v>95</v>
      </c>
      <c r="I48" s="10" t="s">
        <v>666</v>
      </c>
      <c r="J48" s="8" t="s">
        <v>667</v>
      </c>
      <c r="K48" s="10" t="s">
        <v>670</v>
      </c>
    </row>
    <row r="49" spans="4:11" ht="48">
      <c r="D49" s="13">
        <v>45485</v>
      </c>
      <c r="E49" s="14" t="s">
        <v>214</v>
      </c>
      <c r="F49" s="9" t="s">
        <v>96</v>
      </c>
      <c r="G49" s="9" t="s">
        <v>97</v>
      </c>
      <c r="H49" s="9" t="s">
        <v>99</v>
      </c>
      <c r="I49" s="10" t="s">
        <v>666</v>
      </c>
      <c r="J49" s="8" t="s">
        <v>667</v>
      </c>
      <c r="K49" s="10" t="s">
        <v>670</v>
      </c>
    </row>
    <row r="50" spans="4:11" ht="51">
      <c r="D50" s="13">
        <v>45486</v>
      </c>
      <c r="E50" s="14" t="s">
        <v>215</v>
      </c>
      <c r="F50" s="9" t="s">
        <v>100</v>
      </c>
      <c r="G50" s="9" t="s">
        <v>101</v>
      </c>
      <c r="H50" s="9" t="s">
        <v>103</v>
      </c>
      <c r="I50" s="10" t="s">
        <v>666</v>
      </c>
      <c r="J50" s="8" t="s">
        <v>667</v>
      </c>
      <c r="K50" s="10" t="s">
        <v>670</v>
      </c>
    </row>
    <row r="51" spans="4:11" ht="51">
      <c r="D51" s="13">
        <v>45487</v>
      </c>
      <c r="E51" s="14" t="s">
        <v>216</v>
      </c>
      <c r="F51" s="9" t="s">
        <v>104</v>
      </c>
      <c r="G51" s="9" t="s">
        <v>105</v>
      </c>
      <c r="H51" s="9" t="s">
        <v>107</v>
      </c>
      <c r="I51" s="10" t="s">
        <v>666</v>
      </c>
      <c r="J51" s="8" t="s">
        <v>667</v>
      </c>
      <c r="K51" s="10" t="s">
        <v>670</v>
      </c>
    </row>
    <row r="52" spans="4:11" ht="48">
      <c r="D52" s="13">
        <v>45488</v>
      </c>
      <c r="E52" s="14" t="s">
        <v>217</v>
      </c>
      <c r="F52" s="9" t="s">
        <v>108</v>
      </c>
      <c r="G52" s="9" t="s">
        <v>109</v>
      </c>
      <c r="H52" s="9" t="s">
        <v>111</v>
      </c>
      <c r="I52" s="10" t="s">
        <v>666</v>
      </c>
      <c r="J52" s="8" t="s">
        <v>667</v>
      </c>
      <c r="K52" s="10" t="s">
        <v>670</v>
      </c>
    </row>
    <row r="53" spans="4:11" ht="48">
      <c r="D53" s="13">
        <v>45489</v>
      </c>
      <c r="E53" s="14" t="s">
        <v>218</v>
      </c>
      <c r="F53" s="9" t="s">
        <v>92</v>
      </c>
      <c r="G53" s="9" t="s">
        <v>93</v>
      </c>
      <c r="H53" s="9" t="s">
        <v>95</v>
      </c>
      <c r="I53" s="10" t="s">
        <v>666</v>
      </c>
      <c r="J53" s="8" t="s">
        <v>667</v>
      </c>
      <c r="K53" s="10" t="s">
        <v>670</v>
      </c>
    </row>
    <row r="54" spans="4:11" ht="48">
      <c r="D54" s="13">
        <v>45490</v>
      </c>
      <c r="E54" s="14" t="s">
        <v>219</v>
      </c>
      <c r="F54" s="9" t="s">
        <v>112</v>
      </c>
      <c r="G54" s="9" t="s">
        <v>113</v>
      </c>
      <c r="H54" s="9" t="s">
        <v>115</v>
      </c>
      <c r="I54" s="10" t="s">
        <v>666</v>
      </c>
      <c r="J54" s="8" t="s">
        <v>667</v>
      </c>
      <c r="K54" s="10" t="s">
        <v>670</v>
      </c>
    </row>
    <row r="55" spans="4:11" ht="48">
      <c r="D55" s="13">
        <v>45491</v>
      </c>
      <c r="E55" s="14" t="s">
        <v>220</v>
      </c>
      <c r="F55" s="9" t="s">
        <v>116</v>
      </c>
      <c r="G55" s="9" t="s">
        <v>117</v>
      </c>
      <c r="H55" s="9" t="s">
        <v>119</v>
      </c>
      <c r="I55" s="10" t="s">
        <v>666</v>
      </c>
      <c r="J55" s="8" t="s">
        <v>667</v>
      </c>
      <c r="K55" s="10" t="s">
        <v>670</v>
      </c>
    </row>
    <row r="56" spans="4:11" ht="48">
      <c r="D56" s="13">
        <v>45492</v>
      </c>
      <c r="E56" s="14" t="s">
        <v>221</v>
      </c>
      <c r="F56" s="9" t="s">
        <v>120</v>
      </c>
      <c r="G56" s="9" t="s">
        <v>121</v>
      </c>
      <c r="H56" s="9" t="s">
        <v>123</v>
      </c>
      <c r="I56" s="10" t="s">
        <v>666</v>
      </c>
      <c r="J56" s="8" t="s">
        <v>667</v>
      </c>
      <c r="K56" s="10" t="s">
        <v>670</v>
      </c>
    </row>
    <row r="57" spans="4:11" ht="48">
      <c r="D57" s="13">
        <v>45493</v>
      </c>
      <c r="E57" s="14" t="s">
        <v>222</v>
      </c>
      <c r="F57" s="9" t="s">
        <v>124</v>
      </c>
      <c r="G57" s="9" t="s">
        <v>125</v>
      </c>
      <c r="H57" s="9" t="s">
        <v>127</v>
      </c>
      <c r="I57" s="10" t="s">
        <v>666</v>
      </c>
      <c r="J57" s="8" t="s">
        <v>667</v>
      </c>
      <c r="K57" s="10" t="s">
        <v>670</v>
      </c>
    </row>
    <row r="58" spans="4:11" ht="48">
      <c r="D58" s="13">
        <v>45494</v>
      </c>
      <c r="E58" s="14" t="s">
        <v>223</v>
      </c>
      <c r="F58" s="9" t="s">
        <v>128</v>
      </c>
      <c r="G58" s="9" t="s">
        <v>129</v>
      </c>
      <c r="H58" s="9" t="s">
        <v>131</v>
      </c>
      <c r="I58" s="10" t="s">
        <v>666</v>
      </c>
      <c r="J58" s="8" t="s">
        <v>667</v>
      </c>
      <c r="K58" s="10" t="s">
        <v>670</v>
      </c>
    </row>
    <row r="59" spans="4:11" ht="51">
      <c r="D59" s="13">
        <v>45495</v>
      </c>
      <c r="E59" s="14" t="s">
        <v>224</v>
      </c>
      <c r="F59" s="9" t="s">
        <v>132</v>
      </c>
      <c r="G59" s="9" t="s">
        <v>133</v>
      </c>
      <c r="H59" s="9" t="s">
        <v>135</v>
      </c>
      <c r="I59" s="10" t="s">
        <v>666</v>
      </c>
      <c r="J59" s="8" t="s">
        <v>667</v>
      </c>
      <c r="K59" s="10" t="s">
        <v>670</v>
      </c>
    </row>
    <row r="60" spans="4:11" ht="48">
      <c r="D60" s="13">
        <v>45496</v>
      </c>
      <c r="E60" s="14" t="s">
        <v>225</v>
      </c>
      <c r="F60" s="9" t="s">
        <v>136</v>
      </c>
      <c r="G60" s="9" t="s">
        <v>137</v>
      </c>
      <c r="H60" s="9" t="s">
        <v>139</v>
      </c>
      <c r="I60" s="10" t="s">
        <v>666</v>
      </c>
      <c r="J60" s="8" t="s">
        <v>667</v>
      </c>
      <c r="K60" s="10" t="s">
        <v>670</v>
      </c>
    </row>
    <row r="61" spans="4:11" ht="48">
      <c r="D61" s="13">
        <v>45497</v>
      </c>
      <c r="E61" s="14" t="s">
        <v>226</v>
      </c>
      <c r="F61" s="9" t="s">
        <v>140</v>
      </c>
      <c r="G61" s="9" t="s">
        <v>141</v>
      </c>
      <c r="H61" s="9" t="s">
        <v>143</v>
      </c>
      <c r="I61" s="10" t="s">
        <v>666</v>
      </c>
      <c r="J61" s="8" t="s">
        <v>667</v>
      </c>
      <c r="K61" s="10" t="s">
        <v>670</v>
      </c>
    </row>
    <row r="62" spans="4:11" ht="48">
      <c r="D62" s="13">
        <v>45498</v>
      </c>
      <c r="E62" s="14" t="s">
        <v>227</v>
      </c>
      <c r="F62" s="9" t="s">
        <v>144</v>
      </c>
      <c r="G62" s="9" t="s">
        <v>145</v>
      </c>
      <c r="H62" s="9" t="s">
        <v>147</v>
      </c>
      <c r="I62" s="10" t="s">
        <v>666</v>
      </c>
      <c r="J62" s="8" t="s">
        <v>667</v>
      </c>
      <c r="K62" s="10" t="s">
        <v>670</v>
      </c>
    </row>
    <row r="63" spans="4:11" ht="48">
      <c r="D63" s="13">
        <v>45499</v>
      </c>
      <c r="E63" s="14" t="s">
        <v>228</v>
      </c>
      <c r="F63" s="9" t="s">
        <v>148</v>
      </c>
      <c r="G63" s="9" t="s">
        <v>149</v>
      </c>
      <c r="H63" s="9" t="s">
        <v>151</v>
      </c>
      <c r="I63" s="10" t="s">
        <v>666</v>
      </c>
      <c r="J63" s="8" t="s">
        <v>667</v>
      </c>
      <c r="K63" s="10" t="s">
        <v>670</v>
      </c>
    </row>
    <row r="64" spans="4:11" ht="48">
      <c r="D64" s="13">
        <v>45500</v>
      </c>
      <c r="E64" s="14" t="s">
        <v>229</v>
      </c>
      <c r="F64" s="9" t="s">
        <v>152</v>
      </c>
      <c r="G64" s="9" t="s">
        <v>153</v>
      </c>
      <c r="H64" s="9" t="s">
        <v>155</v>
      </c>
      <c r="I64" s="10" t="s">
        <v>666</v>
      </c>
      <c r="J64" s="8" t="s">
        <v>667</v>
      </c>
      <c r="K64" s="10" t="s">
        <v>670</v>
      </c>
    </row>
    <row r="65" spans="4:11" ht="48">
      <c r="D65" s="13">
        <v>45501</v>
      </c>
      <c r="E65" s="14" t="s">
        <v>230</v>
      </c>
      <c r="F65" s="9" t="s">
        <v>156</v>
      </c>
      <c r="G65" s="9" t="s">
        <v>157</v>
      </c>
      <c r="H65" s="9" t="s">
        <v>159</v>
      </c>
      <c r="I65" s="10" t="s">
        <v>666</v>
      </c>
      <c r="J65" s="8" t="s">
        <v>667</v>
      </c>
      <c r="K65" s="10" t="s">
        <v>670</v>
      </c>
    </row>
    <row r="66" spans="4:11" ht="48">
      <c r="D66" s="13">
        <v>45502</v>
      </c>
      <c r="E66" s="14" t="s">
        <v>231</v>
      </c>
      <c r="F66" s="9" t="s">
        <v>160</v>
      </c>
      <c r="G66" s="9" t="s">
        <v>161</v>
      </c>
      <c r="H66" s="9" t="s">
        <v>163</v>
      </c>
      <c r="I66" s="10" t="s">
        <v>666</v>
      </c>
      <c r="J66" s="8" t="s">
        <v>667</v>
      </c>
      <c r="K66" s="10" t="s">
        <v>670</v>
      </c>
    </row>
    <row r="67" spans="4:11" ht="48">
      <c r="D67" s="13">
        <v>45503</v>
      </c>
      <c r="E67" s="14" t="s">
        <v>232</v>
      </c>
      <c r="F67" s="9" t="s">
        <v>164</v>
      </c>
      <c r="G67" s="9" t="s">
        <v>165</v>
      </c>
      <c r="H67" s="9" t="s">
        <v>167</v>
      </c>
      <c r="I67" s="10" t="s">
        <v>666</v>
      </c>
      <c r="J67" s="8" t="s">
        <v>669</v>
      </c>
      <c r="K67" s="10" t="s">
        <v>670</v>
      </c>
    </row>
    <row r="68" spans="4:11" ht="48">
      <c r="D68" s="13">
        <v>45504</v>
      </c>
      <c r="E68" s="14" t="s">
        <v>233</v>
      </c>
      <c r="F68" s="9" t="s">
        <v>168</v>
      </c>
      <c r="G68" s="9" t="s">
        <v>169</v>
      </c>
      <c r="H68" s="9" t="s">
        <v>171</v>
      </c>
      <c r="I68" s="10" t="s">
        <v>666</v>
      </c>
      <c r="J68" s="8" t="s">
        <v>669</v>
      </c>
      <c r="K68" s="10" t="s">
        <v>670</v>
      </c>
    </row>
    <row r="69" spans="4:11" ht="48">
      <c r="D69" s="13">
        <v>45505</v>
      </c>
      <c r="E69" s="14" t="s">
        <v>234</v>
      </c>
      <c r="F69" s="9" t="s">
        <v>172</v>
      </c>
      <c r="G69" s="9" t="s">
        <v>173</v>
      </c>
      <c r="H69" s="9" t="s">
        <v>175</v>
      </c>
      <c r="I69" s="10" t="s">
        <v>666</v>
      </c>
      <c r="J69" s="8" t="s">
        <v>669</v>
      </c>
      <c r="K69" s="10" t="s">
        <v>670</v>
      </c>
    </row>
    <row r="70" spans="4:11" ht="48">
      <c r="D70" s="13">
        <v>45506</v>
      </c>
      <c r="E70" s="14" t="s">
        <v>235</v>
      </c>
      <c r="F70" s="9" t="s">
        <v>176</v>
      </c>
      <c r="G70" s="9" t="s">
        <v>177</v>
      </c>
      <c r="H70" s="9" t="s">
        <v>179</v>
      </c>
      <c r="I70" s="10" t="s">
        <v>666</v>
      </c>
      <c r="J70" s="8" t="s">
        <v>669</v>
      </c>
      <c r="K70" s="10" t="s">
        <v>670</v>
      </c>
    </row>
    <row r="71" spans="4:11" ht="48">
      <c r="D71" s="13">
        <v>45507</v>
      </c>
      <c r="E71" s="14" t="s">
        <v>236</v>
      </c>
      <c r="F71" s="9" t="s">
        <v>180</v>
      </c>
      <c r="G71" s="9" t="s">
        <v>181</v>
      </c>
      <c r="H71" s="9" t="s">
        <v>183</v>
      </c>
      <c r="I71" s="10" t="s">
        <v>666</v>
      </c>
      <c r="J71" s="8" t="s">
        <v>669</v>
      </c>
      <c r="K71" s="10" t="s">
        <v>670</v>
      </c>
    </row>
    <row r="72" spans="4:11" ht="48">
      <c r="D72" s="13">
        <v>45508</v>
      </c>
      <c r="E72" s="14" t="s">
        <v>237</v>
      </c>
      <c r="F72" s="9" t="s">
        <v>160</v>
      </c>
      <c r="G72" s="9" t="s">
        <v>161</v>
      </c>
      <c r="H72" s="9" t="s">
        <v>163</v>
      </c>
      <c r="I72" s="10" t="s">
        <v>666</v>
      </c>
      <c r="J72" s="8" t="s">
        <v>669</v>
      </c>
      <c r="K72" s="10" t="s">
        <v>670</v>
      </c>
    </row>
    <row r="73" spans="4:11" ht="48">
      <c r="D73" s="13">
        <v>45509</v>
      </c>
      <c r="E73" s="14" t="s">
        <v>592</v>
      </c>
      <c r="F73" s="9" t="s">
        <v>164</v>
      </c>
      <c r="G73" s="9" t="s">
        <v>165</v>
      </c>
      <c r="H73" s="9" t="s">
        <v>167</v>
      </c>
      <c r="I73" s="10" t="s">
        <v>666</v>
      </c>
      <c r="J73" s="8" t="s">
        <v>669</v>
      </c>
      <c r="K73" s="10" t="s">
        <v>670</v>
      </c>
    </row>
    <row r="74" spans="4:11" ht="48">
      <c r="D74" s="13">
        <v>45510</v>
      </c>
      <c r="E74" s="14" t="s">
        <v>593</v>
      </c>
      <c r="F74" s="9" t="s">
        <v>168</v>
      </c>
      <c r="G74" s="9" t="s">
        <v>169</v>
      </c>
      <c r="H74" s="9" t="s">
        <v>171</v>
      </c>
      <c r="I74" s="10" t="s">
        <v>666</v>
      </c>
      <c r="J74" s="8" t="s">
        <v>669</v>
      </c>
      <c r="K74" s="10" t="s">
        <v>670</v>
      </c>
    </row>
    <row r="75" spans="4:11" ht="48">
      <c r="D75" s="13">
        <v>45511</v>
      </c>
      <c r="E75" s="14" t="s">
        <v>594</v>
      </c>
      <c r="F75" s="9" t="s">
        <v>172</v>
      </c>
      <c r="G75" s="9" t="s">
        <v>173</v>
      </c>
      <c r="H75" s="9" t="s">
        <v>175</v>
      </c>
      <c r="I75" s="10" t="s">
        <v>666</v>
      </c>
      <c r="J75" s="8" t="s">
        <v>669</v>
      </c>
      <c r="K75" s="10" t="s">
        <v>670</v>
      </c>
    </row>
    <row r="76" spans="4:11" ht="48">
      <c r="D76" s="13">
        <v>45512</v>
      </c>
      <c r="E76" s="14" t="s">
        <v>595</v>
      </c>
      <c r="F76" s="9" t="s">
        <v>176</v>
      </c>
      <c r="G76" s="9" t="s">
        <v>177</v>
      </c>
      <c r="H76" s="9" t="s">
        <v>179</v>
      </c>
      <c r="I76" s="10" t="s">
        <v>666</v>
      </c>
      <c r="J76" s="8" t="s">
        <v>669</v>
      </c>
      <c r="K76" s="10" t="s">
        <v>670</v>
      </c>
    </row>
    <row r="77" spans="4:11" ht="48">
      <c r="D77" s="13">
        <v>45513</v>
      </c>
      <c r="E77" s="14" t="s">
        <v>596</v>
      </c>
      <c r="F77" s="9" t="s">
        <v>180</v>
      </c>
      <c r="G77" s="9" t="s">
        <v>181</v>
      </c>
      <c r="H77" s="9" t="s">
        <v>183</v>
      </c>
      <c r="I77" s="10" t="s">
        <v>666</v>
      </c>
      <c r="J77" s="8" t="s">
        <v>669</v>
      </c>
      <c r="K77" s="10" t="s">
        <v>670</v>
      </c>
    </row>
    <row r="78" spans="4:11" ht="48">
      <c r="D78" s="13">
        <v>45514</v>
      </c>
      <c r="E78" s="14" t="s">
        <v>597</v>
      </c>
      <c r="F78" s="9" t="s">
        <v>160</v>
      </c>
      <c r="G78" s="9" t="s">
        <v>161</v>
      </c>
      <c r="H78" s="9" t="s">
        <v>163</v>
      </c>
      <c r="I78" s="10" t="s">
        <v>666</v>
      </c>
      <c r="J78" s="8" t="s">
        <v>669</v>
      </c>
      <c r="K78" s="10" t="s">
        <v>670</v>
      </c>
    </row>
    <row r="79" spans="4:11" ht="48">
      <c r="D79" s="13">
        <v>45515</v>
      </c>
      <c r="E79" s="14" t="s">
        <v>598</v>
      </c>
      <c r="F79" s="9" t="s">
        <v>352</v>
      </c>
      <c r="G79" s="9" t="s">
        <v>353</v>
      </c>
      <c r="H79" s="9" t="s">
        <v>355</v>
      </c>
      <c r="I79" s="10" t="s">
        <v>666</v>
      </c>
      <c r="J79" s="8" t="s">
        <v>669</v>
      </c>
      <c r="K79" s="10" t="s">
        <v>670</v>
      </c>
    </row>
    <row r="80" spans="4:11" ht="48">
      <c r="D80" s="13">
        <v>45516</v>
      </c>
      <c r="E80" s="14" t="s">
        <v>599</v>
      </c>
      <c r="F80" s="9" t="s">
        <v>356</v>
      </c>
      <c r="G80" s="9" t="s">
        <v>357</v>
      </c>
      <c r="H80" s="9" t="s">
        <v>359</v>
      </c>
      <c r="I80" s="10" t="s">
        <v>666</v>
      </c>
      <c r="J80" s="8" t="s">
        <v>669</v>
      </c>
      <c r="K80" s="10" t="s">
        <v>670</v>
      </c>
    </row>
    <row r="81" spans="4:11" ht="48">
      <c r="D81" s="13">
        <v>45517</v>
      </c>
      <c r="E81" s="14" t="s">
        <v>600</v>
      </c>
      <c r="F81" s="9" t="s">
        <v>360</v>
      </c>
      <c r="G81" s="9" t="s">
        <v>361</v>
      </c>
      <c r="H81" s="9" t="s">
        <v>363</v>
      </c>
      <c r="I81" s="10" t="s">
        <v>666</v>
      </c>
      <c r="J81" s="8" t="s">
        <v>669</v>
      </c>
      <c r="K81" s="10" t="s">
        <v>670</v>
      </c>
    </row>
    <row r="82" spans="4:11" ht="48">
      <c r="D82" s="13">
        <v>45518</v>
      </c>
      <c r="E82" s="14" t="s">
        <v>601</v>
      </c>
      <c r="F82" s="9" t="s">
        <v>364</v>
      </c>
      <c r="G82" s="9" t="s">
        <v>365</v>
      </c>
      <c r="H82" s="9" t="s">
        <v>367</v>
      </c>
      <c r="I82" s="10" t="s">
        <v>666</v>
      </c>
      <c r="J82" s="8" t="s">
        <v>669</v>
      </c>
      <c r="K82" s="10" t="s">
        <v>670</v>
      </c>
    </row>
    <row r="83" spans="4:11" ht="48">
      <c r="D83" s="13">
        <v>45519</v>
      </c>
      <c r="E83" s="14" t="s">
        <v>602</v>
      </c>
      <c r="F83" s="9" t="s">
        <v>368</v>
      </c>
      <c r="G83" s="9" t="s">
        <v>369</v>
      </c>
      <c r="H83" s="9" t="s">
        <v>371</v>
      </c>
      <c r="I83" s="10" t="s">
        <v>666</v>
      </c>
      <c r="J83" s="8" t="s">
        <v>669</v>
      </c>
      <c r="K83" s="10" t="s">
        <v>670</v>
      </c>
    </row>
    <row r="84" spans="4:11" ht="48">
      <c r="D84" s="13">
        <v>45520</v>
      </c>
      <c r="E84" s="14" t="s">
        <v>603</v>
      </c>
      <c r="F84" s="9" t="s">
        <v>160</v>
      </c>
      <c r="G84" s="9" t="s">
        <v>161</v>
      </c>
      <c r="H84" s="9" t="s">
        <v>163</v>
      </c>
      <c r="I84" s="10" t="s">
        <v>666</v>
      </c>
      <c r="J84" s="8" t="s">
        <v>669</v>
      </c>
      <c r="K84" s="10" t="s">
        <v>670</v>
      </c>
    </row>
    <row r="85" spans="4:11" ht="48">
      <c r="D85" s="13">
        <v>45521</v>
      </c>
      <c r="E85" s="14" t="s">
        <v>604</v>
      </c>
      <c r="F85" s="9" t="s">
        <v>372</v>
      </c>
      <c r="G85" s="9" t="s">
        <v>373</v>
      </c>
      <c r="H85" s="9" t="s">
        <v>375</v>
      </c>
      <c r="I85" s="10" t="s">
        <v>666</v>
      </c>
      <c r="J85" s="8" t="s">
        <v>669</v>
      </c>
      <c r="K85" s="10" t="s">
        <v>670</v>
      </c>
    </row>
    <row r="86" spans="4:11" ht="48">
      <c r="D86" s="13">
        <v>45522</v>
      </c>
      <c r="E86" s="14" t="s">
        <v>605</v>
      </c>
      <c r="F86" s="9" t="s">
        <v>376</v>
      </c>
      <c r="G86" s="9" t="s">
        <v>377</v>
      </c>
      <c r="H86" s="9" t="s">
        <v>379</v>
      </c>
      <c r="I86" s="10" t="s">
        <v>666</v>
      </c>
      <c r="J86" s="8" t="s">
        <v>669</v>
      </c>
      <c r="K86" s="10" t="s">
        <v>670</v>
      </c>
    </row>
    <row r="87" spans="4:11" ht="48">
      <c r="D87" s="13">
        <v>45523</v>
      </c>
      <c r="E87" s="14" t="s">
        <v>606</v>
      </c>
      <c r="F87" s="9" t="s">
        <v>380</v>
      </c>
      <c r="G87" s="9" t="s">
        <v>381</v>
      </c>
      <c r="H87" s="9" t="s">
        <v>383</v>
      </c>
      <c r="I87" s="10" t="s">
        <v>666</v>
      </c>
      <c r="J87" s="8" t="s">
        <v>669</v>
      </c>
      <c r="K87" s="10" t="s">
        <v>670</v>
      </c>
    </row>
    <row r="88" spans="4:11" ht="48">
      <c r="D88" s="13">
        <v>45524</v>
      </c>
      <c r="E88" s="14" t="s">
        <v>607</v>
      </c>
      <c r="F88" s="9" t="s">
        <v>384</v>
      </c>
      <c r="G88" s="9" t="s">
        <v>385</v>
      </c>
      <c r="H88" s="9" t="s">
        <v>387</v>
      </c>
      <c r="I88" s="10" t="s">
        <v>666</v>
      </c>
      <c r="J88" s="8" t="s">
        <v>669</v>
      </c>
      <c r="K88" s="10" t="s">
        <v>670</v>
      </c>
    </row>
    <row r="89" spans="4:11" ht="48">
      <c r="D89" s="13">
        <v>45525</v>
      </c>
      <c r="E89" s="14" t="s">
        <v>608</v>
      </c>
      <c r="F89" s="9" t="s">
        <v>388</v>
      </c>
      <c r="G89" s="9" t="s">
        <v>389</v>
      </c>
      <c r="H89" s="9" t="s">
        <v>391</v>
      </c>
      <c r="I89" s="10" t="s">
        <v>666</v>
      </c>
      <c r="J89" s="8" t="s">
        <v>669</v>
      </c>
      <c r="K89" s="10" t="s">
        <v>670</v>
      </c>
    </row>
    <row r="90" spans="4:11" ht="48">
      <c r="D90" s="13">
        <v>45526</v>
      </c>
      <c r="E90" s="14" t="s">
        <v>609</v>
      </c>
      <c r="F90" s="9" t="s">
        <v>160</v>
      </c>
      <c r="G90" s="9" t="s">
        <v>161</v>
      </c>
      <c r="H90" s="9" t="s">
        <v>163</v>
      </c>
      <c r="I90" s="10" t="s">
        <v>666</v>
      </c>
      <c r="J90" s="8" t="s">
        <v>669</v>
      </c>
      <c r="K90" s="10" t="s">
        <v>670</v>
      </c>
    </row>
    <row r="91" spans="4:11" ht="48">
      <c r="D91" s="13">
        <v>45527</v>
      </c>
      <c r="E91" s="14" t="s">
        <v>610</v>
      </c>
      <c r="F91" s="9" t="s">
        <v>392</v>
      </c>
      <c r="G91" s="9" t="s">
        <v>393</v>
      </c>
      <c r="H91" s="9" t="s">
        <v>395</v>
      </c>
      <c r="I91" s="10" t="s">
        <v>666</v>
      </c>
      <c r="J91" s="8" t="s">
        <v>669</v>
      </c>
      <c r="K91" s="10" t="s">
        <v>670</v>
      </c>
    </row>
    <row r="92" spans="4:11" ht="48">
      <c r="D92" s="13">
        <v>45528</v>
      </c>
      <c r="E92" s="14" t="s">
        <v>611</v>
      </c>
      <c r="F92" s="9" t="s">
        <v>396</v>
      </c>
      <c r="G92" s="9" t="s">
        <v>397</v>
      </c>
      <c r="H92" s="9" t="s">
        <v>399</v>
      </c>
      <c r="I92" s="10" t="s">
        <v>666</v>
      </c>
      <c r="J92" s="8" t="s">
        <v>669</v>
      </c>
      <c r="K92" s="10" t="s">
        <v>670</v>
      </c>
    </row>
    <row r="93" spans="4:11" ht="48">
      <c r="D93" s="13">
        <v>45529</v>
      </c>
      <c r="E93" s="14" t="s">
        <v>612</v>
      </c>
      <c r="F93" s="9" t="s">
        <v>400</v>
      </c>
      <c r="G93" s="9" t="s">
        <v>401</v>
      </c>
      <c r="H93" s="9" t="s">
        <v>403</v>
      </c>
      <c r="I93" s="10" t="s">
        <v>666</v>
      </c>
      <c r="J93" s="8" t="s">
        <v>669</v>
      </c>
      <c r="K93" s="10" t="s">
        <v>670</v>
      </c>
    </row>
    <row r="94" spans="4:11" ht="48">
      <c r="D94" s="13">
        <v>45530</v>
      </c>
      <c r="E94" s="14" t="s">
        <v>613</v>
      </c>
      <c r="F94" s="9" t="s">
        <v>404</v>
      </c>
      <c r="G94" s="9" t="s">
        <v>405</v>
      </c>
      <c r="H94" s="9" t="s">
        <v>407</v>
      </c>
      <c r="I94" s="10" t="s">
        <v>666</v>
      </c>
      <c r="J94" s="8" t="s">
        <v>669</v>
      </c>
      <c r="K94" s="10" t="s">
        <v>670</v>
      </c>
    </row>
    <row r="95" spans="4:11" ht="48">
      <c r="D95" s="13">
        <v>45531</v>
      </c>
      <c r="E95" s="14" t="s">
        <v>614</v>
      </c>
      <c r="F95" s="9" t="s">
        <v>408</v>
      </c>
      <c r="G95" s="9" t="s">
        <v>409</v>
      </c>
      <c r="H95" s="9" t="s">
        <v>411</v>
      </c>
      <c r="I95" s="10" t="s">
        <v>666</v>
      </c>
      <c r="J95" s="8" t="s">
        <v>669</v>
      </c>
      <c r="K95" s="10" t="s">
        <v>670</v>
      </c>
    </row>
    <row r="96" spans="4:11" ht="48">
      <c r="D96" s="13">
        <v>45532</v>
      </c>
      <c r="E96" s="14" t="s">
        <v>615</v>
      </c>
      <c r="F96" s="9" t="s">
        <v>412</v>
      </c>
      <c r="G96" s="9" t="s">
        <v>413</v>
      </c>
      <c r="H96" s="9" t="s">
        <v>415</v>
      </c>
      <c r="I96" s="10" t="s">
        <v>666</v>
      </c>
      <c r="J96" s="8" t="s">
        <v>669</v>
      </c>
      <c r="K96" s="10" t="s">
        <v>670</v>
      </c>
    </row>
    <row r="97" spans="4:11" ht="48">
      <c r="D97" s="13">
        <v>45533</v>
      </c>
      <c r="E97" s="14" t="s">
        <v>616</v>
      </c>
      <c r="F97" s="9" t="s">
        <v>416</v>
      </c>
      <c r="G97" s="9" t="s">
        <v>417</v>
      </c>
      <c r="H97" s="9" t="s">
        <v>419</v>
      </c>
      <c r="I97" s="10" t="s">
        <v>666</v>
      </c>
      <c r="J97" s="8" t="s">
        <v>669</v>
      </c>
      <c r="K97" s="10" t="s">
        <v>670</v>
      </c>
    </row>
    <row r="98" spans="4:11" ht="48">
      <c r="D98" s="13">
        <v>45534</v>
      </c>
      <c r="E98" s="14" t="s">
        <v>617</v>
      </c>
      <c r="F98" s="9" t="s">
        <v>420</v>
      </c>
      <c r="G98" s="9" t="s">
        <v>421</v>
      </c>
      <c r="H98" s="9" t="s">
        <v>423</v>
      </c>
      <c r="I98" s="10" t="s">
        <v>666</v>
      </c>
      <c r="J98" s="8" t="s">
        <v>669</v>
      </c>
      <c r="K98" s="10" t="s">
        <v>670</v>
      </c>
    </row>
    <row r="99" spans="4:11" ht="48">
      <c r="D99" s="13">
        <v>45535</v>
      </c>
      <c r="E99" s="14" t="s">
        <v>618</v>
      </c>
      <c r="F99" s="9" t="s">
        <v>424</v>
      </c>
      <c r="G99" s="9" t="s">
        <v>425</v>
      </c>
      <c r="H99" s="9" t="s">
        <v>427</v>
      </c>
      <c r="I99" s="10" t="s">
        <v>666</v>
      </c>
      <c r="J99" s="8" t="s">
        <v>669</v>
      </c>
      <c r="K99" s="10" t="s">
        <v>670</v>
      </c>
    </row>
    <row r="100" spans="4:11" ht="48">
      <c r="D100" s="13">
        <v>45536</v>
      </c>
      <c r="E100" s="14" t="s">
        <v>619</v>
      </c>
      <c r="F100" s="9" t="s">
        <v>428</v>
      </c>
      <c r="G100" s="9" t="s">
        <v>429</v>
      </c>
      <c r="H100" s="9" t="s">
        <v>431</v>
      </c>
      <c r="I100" s="10" t="s">
        <v>666</v>
      </c>
      <c r="J100" s="8" t="s">
        <v>669</v>
      </c>
      <c r="K100" s="10" t="s">
        <v>670</v>
      </c>
    </row>
    <row r="101" spans="4:11" ht="48">
      <c r="D101" s="13">
        <v>45537</v>
      </c>
      <c r="E101" s="14" t="s">
        <v>620</v>
      </c>
      <c r="F101" s="9" t="s">
        <v>432</v>
      </c>
      <c r="G101" s="9" t="s">
        <v>433</v>
      </c>
      <c r="H101" s="9" t="s">
        <v>435</v>
      </c>
      <c r="I101" s="10" t="s">
        <v>666</v>
      </c>
      <c r="J101" s="8" t="s">
        <v>669</v>
      </c>
      <c r="K101" s="10" t="s">
        <v>670</v>
      </c>
    </row>
    <row r="102" spans="4:11" ht="48">
      <c r="D102" s="13">
        <v>45538</v>
      </c>
      <c r="E102" s="14" t="s">
        <v>621</v>
      </c>
      <c r="F102" s="9" t="s">
        <v>412</v>
      </c>
      <c r="G102" s="9" t="s">
        <v>413</v>
      </c>
      <c r="H102" s="9" t="s">
        <v>415</v>
      </c>
      <c r="I102" s="10" t="s">
        <v>666</v>
      </c>
      <c r="J102" s="8" t="s">
        <v>669</v>
      </c>
      <c r="K102" s="10" t="s">
        <v>670</v>
      </c>
    </row>
    <row r="103" spans="4:11" ht="48">
      <c r="D103" s="13">
        <v>45539</v>
      </c>
      <c r="E103" s="14" t="s">
        <v>622</v>
      </c>
      <c r="F103" s="9" t="s">
        <v>436</v>
      </c>
      <c r="G103" s="9" t="s">
        <v>437</v>
      </c>
      <c r="H103" s="9" t="s">
        <v>439</v>
      </c>
      <c r="I103" s="10" t="s">
        <v>666</v>
      </c>
      <c r="J103" s="8" t="s">
        <v>669</v>
      </c>
      <c r="K103" s="10" t="s">
        <v>670</v>
      </c>
    </row>
    <row r="104" spans="4:11" ht="48">
      <c r="D104" s="13">
        <v>45540</v>
      </c>
      <c r="E104" s="14" t="s">
        <v>623</v>
      </c>
      <c r="F104" s="9" t="s">
        <v>440</v>
      </c>
      <c r="G104" s="9" t="s">
        <v>441</v>
      </c>
      <c r="H104" s="9" t="s">
        <v>443</v>
      </c>
      <c r="I104" s="10" t="s">
        <v>666</v>
      </c>
      <c r="J104" s="8" t="s">
        <v>669</v>
      </c>
      <c r="K104" s="10" t="s">
        <v>670</v>
      </c>
    </row>
    <row r="105" spans="4:11" ht="48">
      <c r="D105" s="13">
        <v>45541</v>
      </c>
      <c r="E105" s="14" t="s">
        <v>624</v>
      </c>
      <c r="F105" s="9" t="s">
        <v>444</v>
      </c>
      <c r="G105" s="9" t="s">
        <v>445</v>
      </c>
      <c r="H105" s="9" t="s">
        <v>447</v>
      </c>
      <c r="I105" s="10" t="s">
        <v>666</v>
      </c>
      <c r="J105" s="8" t="s">
        <v>669</v>
      </c>
      <c r="K105" s="10" t="s">
        <v>670</v>
      </c>
    </row>
    <row r="106" spans="4:11" ht="48">
      <c r="D106" s="13">
        <v>45542</v>
      </c>
      <c r="E106" s="14" t="s">
        <v>625</v>
      </c>
      <c r="F106" s="9" t="s">
        <v>448</v>
      </c>
      <c r="G106" s="9" t="s">
        <v>449</v>
      </c>
      <c r="H106" s="9" t="s">
        <v>451</v>
      </c>
      <c r="I106" s="10" t="s">
        <v>666</v>
      </c>
      <c r="J106" s="8" t="s">
        <v>669</v>
      </c>
      <c r="K106" s="10" t="s">
        <v>670</v>
      </c>
    </row>
    <row r="107" spans="4:11" ht="48">
      <c r="D107" s="13">
        <v>45543</v>
      </c>
      <c r="E107" s="14" t="s">
        <v>626</v>
      </c>
      <c r="F107" s="9" t="s">
        <v>452</v>
      </c>
      <c r="G107" s="9" t="s">
        <v>453</v>
      </c>
      <c r="H107" s="9" t="s">
        <v>455</v>
      </c>
      <c r="I107" s="10" t="s">
        <v>666</v>
      </c>
      <c r="J107" s="8" t="s">
        <v>669</v>
      </c>
      <c r="K107" s="10" t="s">
        <v>670</v>
      </c>
    </row>
    <row r="108" spans="4:11" ht="48">
      <c r="D108" s="13">
        <v>45544</v>
      </c>
      <c r="E108" s="14" t="s">
        <v>627</v>
      </c>
      <c r="F108" s="9" t="s">
        <v>412</v>
      </c>
      <c r="G108" s="9" t="s">
        <v>413</v>
      </c>
      <c r="H108" s="9" t="s">
        <v>415</v>
      </c>
      <c r="I108" s="10" t="s">
        <v>666</v>
      </c>
      <c r="J108" s="8" t="s">
        <v>669</v>
      </c>
      <c r="K108" s="10" t="s">
        <v>670</v>
      </c>
    </row>
    <row r="109" spans="4:11" ht="48">
      <c r="D109" s="13">
        <v>45545</v>
      </c>
      <c r="E109" s="14" t="s">
        <v>628</v>
      </c>
      <c r="F109" s="9" t="s">
        <v>456</v>
      </c>
      <c r="G109" s="9" t="s">
        <v>457</v>
      </c>
      <c r="H109" s="9" t="s">
        <v>459</v>
      </c>
      <c r="I109" s="10" t="s">
        <v>666</v>
      </c>
      <c r="J109" s="8" t="s">
        <v>669</v>
      </c>
      <c r="K109" s="10" t="s">
        <v>670</v>
      </c>
    </row>
    <row r="110" spans="4:11" ht="48">
      <c r="D110" s="13">
        <v>45546</v>
      </c>
      <c r="E110" s="14" t="s">
        <v>629</v>
      </c>
      <c r="F110" s="9" t="s">
        <v>460</v>
      </c>
      <c r="G110" s="9" t="s">
        <v>461</v>
      </c>
      <c r="H110" s="9" t="s">
        <v>463</v>
      </c>
      <c r="I110" s="10" t="s">
        <v>666</v>
      </c>
      <c r="J110" s="8" t="s">
        <v>669</v>
      </c>
      <c r="K110" s="10" t="s">
        <v>670</v>
      </c>
    </row>
    <row r="111" spans="4:11" ht="48">
      <c r="D111" s="13">
        <v>45547</v>
      </c>
      <c r="E111" s="14" t="s">
        <v>630</v>
      </c>
      <c r="F111" s="9" t="s">
        <v>464</v>
      </c>
      <c r="G111" s="9" t="s">
        <v>465</v>
      </c>
      <c r="H111" s="9" t="s">
        <v>467</v>
      </c>
      <c r="I111" s="10" t="s">
        <v>666</v>
      </c>
      <c r="J111" s="8" t="s">
        <v>669</v>
      </c>
      <c r="K111" s="10" t="s">
        <v>670</v>
      </c>
    </row>
    <row r="112" spans="4:11" ht="48">
      <c r="D112" s="13">
        <v>45548</v>
      </c>
      <c r="E112" s="14" t="s">
        <v>631</v>
      </c>
      <c r="F112" s="9" t="s">
        <v>468</v>
      </c>
      <c r="G112" s="9" t="s">
        <v>469</v>
      </c>
      <c r="H112" s="9" t="s">
        <v>471</v>
      </c>
      <c r="I112" s="10" t="s">
        <v>666</v>
      </c>
      <c r="J112" s="8" t="s">
        <v>669</v>
      </c>
      <c r="K112" s="10" t="s">
        <v>670</v>
      </c>
    </row>
    <row r="113" spans="4:11" ht="48">
      <c r="D113" s="13">
        <v>45549</v>
      </c>
      <c r="E113" s="14" t="s">
        <v>632</v>
      </c>
      <c r="F113" s="9" t="s">
        <v>472</v>
      </c>
      <c r="G113" s="9" t="s">
        <v>473</v>
      </c>
      <c r="H113" s="9" t="s">
        <v>475</v>
      </c>
      <c r="I113" s="10" t="s">
        <v>666</v>
      </c>
      <c r="J113" s="8" t="s">
        <v>669</v>
      </c>
      <c r="K113" s="10" t="s">
        <v>670</v>
      </c>
    </row>
    <row r="114" spans="4:11" ht="48">
      <c r="D114" s="13">
        <v>45550</v>
      </c>
      <c r="E114" s="14" t="s">
        <v>633</v>
      </c>
      <c r="F114" s="9" t="s">
        <v>412</v>
      </c>
      <c r="G114" s="9" t="s">
        <v>413</v>
      </c>
      <c r="H114" s="9" t="s">
        <v>415</v>
      </c>
      <c r="I114" s="10" t="s">
        <v>666</v>
      </c>
      <c r="J114" s="8" t="s">
        <v>669</v>
      </c>
      <c r="K114" s="10" t="s">
        <v>670</v>
      </c>
    </row>
    <row r="115" spans="4:11" ht="48">
      <c r="D115" s="13">
        <v>45551</v>
      </c>
      <c r="E115" s="14" t="s">
        <v>634</v>
      </c>
      <c r="F115" s="9" t="s">
        <v>476</v>
      </c>
      <c r="G115" s="9" t="s">
        <v>477</v>
      </c>
      <c r="H115" s="9" t="s">
        <v>479</v>
      </c>
      <c r="I115" s="10" t="s">
        <v>666</v>
      </c>
      <c r="J115" s="8" t="s">
        <v>669</v>
      </c>
      <c r="K115" s="10" t="s">
        <v>670</v>
      </c>
    </row>
    <row r="116" spans="4:11" ht="48">
      <c r="D116" s="13">
        <v>45552</v>
      </c>
      <c r="E116" s="14" t="s">
        <v>635</v>
      </c>
      <c r="F116" s="9" t="s">
        <v>480</v>
      </c>
      <c r="G116" s="9" t="s">
        <v>481</v>
      </c>
      <c r="H116" s="9" t="s">
        <v>483</v>
      </c>
      <c r="I116" s="10" t="s">
        <v>666</v>
      </c>
      <c r="J116" s="8" t="s">
        <v>669</v>
      </c>
      <c r="K116" s="10" t="s">
        <v>670</v>
      </c>
    </row>
    <row r="117" spans="4:11" ht="48">
      <c r="D117" s="13">
        <v>45553</v>
      </c>
      <c r="E117" s="14" t="s">
        <v>636</v>
      </c>
      <c r="F117" s="9" t="s">
        <v>484</v>
      </c>
      <c r="G117" s="9" t="s">
        <v>485</v>
      </c>
      <c r="H117" s="9" t="s">
        <v>487</v>
      </c>
      <c r="I117" s="10" t="s">
        <v>666</v>
      </c>
      <c r="J117" s="8" t="s">
        <v>669</v>
      </c>
      <c r="K117" s="10" t="s">
        <v>670</v>
      </c>
    </row>
    <row r="118" spans="4:11" ht="48">
      <c r="D118" s="13">
        <v>45554</v>
      </c>
      <c r="E118" s="14" t="s">
        <v>637</v>
      </c>
      <c r="F118" s="9" t="s">
        <v>488</v>
      </c>
      <c r="G118" s="9" t="s">
        <v>489</v>
      </c>
      <c r="H118" s="9" t="s">
        <v>491</v>
      </c>
      <c r="I118" s="10" t="s">
        <v>666</v>
      </c>
      <c r="J118" s="8" t="s">
        <v>669</v>
      </c>
      <c r="K118" s="10" t="s">
        <v>670</v>
      </c>
    </row>
    <row r="119" spans="4:11" ht="48">
      <c r="D119" s="13">
        <v>45555</v>
      </c>
      <c r="E119" s="14" t="s">
        <v>638</v>
      </c>
      <c r="F119" s="9" t="s">
        <v>492</v>
      </c>
      <c r="G119" s="9" t="s">
        <v>493</v>
      </c>
      <c r="H119" s="9" t="s">
        <v>495</v>
      </c>
      <c r="I119" s="10" t="s">
        <v>666</v>
      </c>
      <c r="J119" s="8" t="s">
        <v>669</v>
      </c>
      <c r="K119" s="10" t="s">
        <v>670</v>
      </c>
    </row>
    <row r="120" spans="4:11" ht="48">
      <c r="D120" s="13">
        <v>45556</v>
      </c>
      <c r="E120" s="14" t="s">
        <v>639</v>
      </c>
      <c r="F120" s="9" t="s">
        <v>496</v>
      </c>
      <c r="G120" s="9" t="s">
        <v>497</v>
      </c>
      <c r="H120" s="9" t="s">
        <v>499</v>
      </c>
      <c r="I120" s="10" t="s">
        <v>666</v>
      </c>
      <c r="J120" s="8" t="s">
        <v>669</v>
      </c>
      <c r="K120" s="10" t="s">
        <v>670</v>
      </c>
    </row>
    <row r="121" spans="4:11" ht="48">
      <c r="D121" s="13">
        <v>45557</v>
      </c>
      <c r="E121" s="14" t="s">
        <v>640</v>
      </c>
      <c r="F121" s="9" t="s">
        <v>500</v>
      </c>
      <c r="G121" s="9" t="s">
        <v>501</v>
      </c>
      <c r="H121" s="9" t="s">
        <v>503</v>
      </c>
      <c r="I121" s="10" t="s">
        <v>666</v>
      </c>
      <c r="J121" s="8" t="s">
        <v>669</v>
      </c>
      <c r="K121" s="10" t="s">
        <v>670</v>
      </c>
    </row>
    <row r="122" spans="4:11" ht="48">
      <c r="D122" s="13">
        <v>45558</v>
      </c>
      <c r="E122" s="14" t="s">
        <v>641</v>
      </c>
      <c r="F122" s="9" t="s">
        <v>504</v>
      </c>
      <c r="G122" s="9" t="s">
        <v>505</v>
      </c>
      <c r="H122" s="9" t="s">
        <v>507</v>
      </c>
      <c r="I122" s="10" t="s">
        <v>666</v>
      </c>
      <c r="J122" s="8" t="s">
        <v>669</v>
      </c>
      <c r="K122" s="10" t="s">
        <v>670</v>
      </c>
    </row>
    <row r="123" spans="4:11" ht="48">
      <c r="D123" s="13">
        <v>45559</v>
      </c>
      <c r="E123" s="14" t="s">
        <v>642</v>
      </c>
      <c r="F123" s="9" t="s">
        <v>508</v>
      </c>
      <c r="G123" s="9" t="s">
        <v>509</v>
      </c>
      <c r="H123" s="9" t="s">
        <v>511</v>
      </c>
      <c r="I123" s="10" t="s">
        <v>666</v>
      </c>
      <c r="J123" s="8" t="s">
        <v>669</v>
      </c>
      <c r="K123" s="10" t="s">
        <v>670</v>
      </c>
    </row>
    <row r="124" spans="4:11" ht="48">
      <c r="D124" s="13">
        <v>45560</v>
      </c>
      <c r="E124" s="14" t="s">
        <v>643</v>
      </c>
      <c r="F124" s="9" t="s">
        <v>512</v>
      </c>
      <c r="G124" s="9" t="s">
        <v>513</v>
      </c>
      <c r="H124" s="9" t="s">
        <v>515</v>
      </c>
      <c r="I124" s="10" t="s">
        <v>666</v>
      </c>
      <c r="J124" s="8" t="s">
        <v>669</v>
      </c>
      <c r="K124" s="10" t="s">
        <v>670</v>
      </c>
    </row>
    <row r="125" spans="4:11" ht="48">
      <c r="D125" s="13">
        <v>45561</v>
      </c>
      <c r="E125" s="14" t="s">
        <v>644</v>
      </c>
      <c r="F125" s="9" t="s">
        <v>516</v>
      </c>
      <c r="G125" s="9" t="s">
        <v>517</v>
      </c>
      <c r="H125" s="9" t="s">
        <v>519</v>
      </c>
      <c r="I125" s="10" t="s">
        <v>666</v>
      </c>
      <c r="J125" s="8" t="s">
        <v>669</v>
      </c>
      <c r="K125" s="10" t="s">
        <v>670</v>
      </c>
    </row>
    <row r="126" spans="4:11" ht="48">
      <c r="D126" s="13">
        <v>45562</v>
      </c>
      <c r="E126" s="14" t="s">
        <v>645</v>
      </c>
      <c r="F126" s="9" t="s">
        <v>520</v>
      </c>
      <c r="G126" s="9" t="s">
        <v>521</v>
      </c>
      <c r="H126" s="9" t="s">
        <v>523</v>
      </c>
      <c r="I126" s="10" t="s">
        <v>666</v>
      </c>
      <c r="J126" s="8" t="s">
        <v>669</v>
      </c>
      <c r="K126" s="10" t="s">
        <v>670</v>
      </c>
    </row>
    <row r="127" spans="4:11" ht="48">
      <c r="D127" s="13">
        <v>45563</v>
      </c>
      <c r="E127" s="14" t="s">
        <v>646</v>
      </c>
      <c r="F127" s="9" t="s">
        <v>524</v>
      </c>
      <c r="G127" s="9" t="s">
        <v>525</v>
      </c>
      <c r="H127" s="9" t="s">
        <v>527</v>
      </c>
      <c r="I127" s="10" t="s">
        <v>666</v>
      </c>
      <c r="J127" s="8" t="s">
        <v>669</v>
      </c>
      <c r="K127" s="10" t="s">
        <v>670</v>
      </c>
    </row>
    <row r="128" spans="4:11" ht="48">
      <c r="D128" s="13">
        <v>45564</v>
      </c>
      <c r="E128" s="14" t="s">
        <v>647</v>
      </c>
      <c r="F128" s="9" t="s">
        <v>528</v>
      </c>
      <c r="G128" s="9" t="s">
        <v>529</v>
      </c>
      <c r="H128" s="9" t="s">
        <v>531</v>
      </c>
      <c r="I128" s="10" t="s">
        <v>666</v>
      </c>
      <c r="J128" s="8" t="s">
        <v>669</v>
      </c>
      <c r="K128" s="10" t="s">
        <v>670</v>
      </c>
    </row>
    <row r="129" spans="4:11" ht="48">
      <c r="D129" s="13">
        <v>45565</v>
      </c>
      <c r="E129" s="14" t="s">
        <v>648</v>
      </c>
      <c r="F129" s="9" t="s">
        <v>532</v>
      </c>
      <c r="G129" s="9" t="s">
        <v>533</v>
      </c>
      <c r="H129" s="9" t="s">
        <v>535</v>
      </c>
      <c r="I129" s="10" t="s">
        <v>666</v>
      </c>
      <c r="J129" s="8" t="s">
        <v>669</v>
      </c>
      <c r="K129" s="10" t="s">
        <v>670</v>
      </c>
    </row>
    <row r="130" spans="4:11" ht="48">
      <c r="D130" s="13">
        <v>45566</v>
      </c>
      <c r="E130" s="14" t="s">
        <v>649</v>
      </c>
      <c r="F130" s="9" t="s">
        <v>536</v>
      </c>
      <c r="G130" s="9" t="s">
        <v>537</v>
      </c>
      <c r="H130" s="9" t="s">
        <v>539</v>
      </c>
      <c r="I130" s="10" t="s">
        <v>666</v>
      </c>
      <c r="J130" s="8" t="s">
        <v>669</v>
      </c>
      <c r="K130" s="10" t="s">
        <v>670</v>
      </c>
    </row>
    <row r="131" spans="4:11" ht="48">
      <c r="D131" s="13">
        <v>45567</v>
      </c>
      <c r="E131" s="14" t="s">
        <v>650</v>
      </c>
      <c r="F131" s="9" t="s">
        <v>540</v>
      </c>
      <c r="G131" s="9" t="s">
        <v>541</v>
      </c>
      <c r="H131" s="9" t="s">
        <v>543</v>
      </c>
      <c r="I131" s="10" t="s">
        <v>666</v>
      </c>
      <c r="J131" s="8" t="s">
        <v>669</v>
      </c>
      <c r="K131" s="10" t="s">
        <v>670</v>
      </c>
    </row>
    <row r="132" spans="4:11" ht="48">
      <c r="D132" s="13">
        <v>45568</v>
      </c>
      <c r="E132" s="14" t="s">
        <v>651</v>
      </c>
      <c r="F132" s="9" t="s">
        <v>544</v>
      </c>
      <c r="G132" s="9" t="s">
        <v>545</v>
      </c>
      <c r="H132" s="9" t="s">
        <v>547</v>
      </c>
      <c r="I132" s="10" t="s">
        <v>666</v>
      </c>
      <c r="J132" s="8" t="s">
        <v>669</v>
      </c>
      <c r="K132" s="10" t="s">
        <v>670</v>
      </c>
    </row>
    <row r="133" spans="4:11" ht="48">
      <c r="D133" s="13">
        <v>45569</v>
      </c>
      <c r="E133" s="14" t="s">
        <v>652</v>
      </c>
      <c r="F133" s="9" t="s">
        <v>548</v>
      </c>
      <c r="G133" s="9" t="s">
        <v>549</v>
      </c>
      <c r="H133" s="9" t="s">
        <v>551</v>
      </c>
      <c r="I133" s="10" t="s">
        <v>666</v>
      </c>
      <c r="J133" s="8" t="s">
        <v>669</v>
      </c>
      <c r="K133" s="10" t="s">
        <v>670</v>
      </c>
    </row>
    <row r="134" spans="4:11" ht="48">
      <c r="D134" s="13">
        <v>45570</v>
      </c>
      <c r="E134" s="14" t="s">
        <v>653</v>
      </c>
      <c r="F134" s="9" t="s">
        <v>552</v>
      </c>
      <c r="G134" s="9" t="s">
        <v>553</v>
      </c>
      <c r="H134" s="9" t="s">
        <v>555</v>
      </c>
      <c r="I134" s="10" t="s">
        <v>666</v>
      </c>
      <c r="J134" s="8" t="s">
        <v>669</v>
      </c>
      <c r="K134" s="10" t="s">
        <v>670</v>
      </c>
    </row>
    <row r="135" spans="4:11" ht="48">
      <c r="D135" s="13">
        <v>45571</v>
      </c>
      <c r="E135" s="14" t="s">
        <v>654</v>
      </c>
      <c r="F135" s="9" t="s">
        <v>556</v>
      </c>
      <c r="G135" s="9" t="s">
        <v>557</v>
      </c>
      <c r="H135" s="9" t="s">
        <v>559</v>
      </c>
      <c r="I135" s="10" t="s">
        <v>666</v>
      </c>
      <c r="J135" s="8" t="s">
        <v>669</v>
      </c>
      <c r="K135" s="10" t="s">
        <v>670</v>
      </c>
    </row>
    <row r="136" spans="4:11" ht="48">
      <c r="D136" s="13">
        <v>45572</v>
      </c>
      <c r="E136" s="14" t="s">
        <v>655</v>
      </c>
      <c r="F136" s="9" t="s">
        <v>560</v>
      </c>
      <c r="G136" s="9" t="s">
        <v>561</v>
      </c>
      <c r="H136" s="9" t="s">
        <v>563</v>
      </c>
      <c r="I136" s="10" t="s">
        <v>666</v>
      </c>
      <c r="J136" s="8" t="s">
        <v>669</v>
      </c>
      <c r="K136" s="10" t="s">
        <v>670</v>
      </c>
    </row>
    <row r="137" spans="4:11" ht="48">
      <c r="D137" s="13">
        <v>45573</v>
      </c>
      <c r="E137" s="14" t="s">
        <v>656</v>
      </c>
      <c r="F137" s="9" t="s">
        <v>564</v>
      </c>
      <c r="G137" s="9" t="s">
        <v>565</v>
      </c>
      <c r="H137" s="9" t="s">
        <v>567</v>
      </c>
      <c r="I137" s="10" t="s">
        <v>666</v>
      </c>
      <c r="J137" s="8" t="s">
        <v>669</v>
      </c>
      <c r="K137" s="10" t="s">
        <v>670</v>
      </c>
    </row>
    <row r="138" spans="4:11" ht="48">
      <c r="D138" s="13">
        <v>45574</v>
      </c>
      <c r="E138" s="14" t="s">
        <v>657</v>
      </c>
      <c r="F138" s="9" t="s">
        <v>568</v>
      </c>
      <c r="G138" s="9" t="s">
        <v>569</v>
      </c>
      <c r="H138" s="9" t="s">
        <v>571</v>
      </c>
      <c r="I138" s="10" t="s">
        <v>666</v>
      </c>
      <c r="J138" s="8" t="s">
        <v>669</v>
      </c>
      <c r="K138" s="10" t="s">
        <v>670</v>
      </c>
    </row>
    <row r="139" spans="4:11" ht="48">
      <c r="D139" s="13">
        <v>45575</v>
      </c>
      <c r="E139" s="14" t="s">
        <v>658</v>
      </c>
      <c r="F139" s="9" t="s">
        <v>572</v>
      </c>
      <c r="G139" s="9" t="s">
        <v>573</v>
      </c>
      <c r="H139" s="9" t="s">
        <v>575</v>
      </c>
      <c r="I139" s="10" t="s">
        <v>666</v>
      </c>
      <c r="J139" s="8" t="s">
        <v>669</v>
      </c>
      <c r="K139" s="10" t="s">
        <v>670</v>
      </c>
    </row>
    <row r="140" spans="4:11" ht="48">
      <c r="D140" s="13">
        <v>45576</v>
      </c>
      <c r="E140" s="14" t="s">
        <v>659</v>
      </c>
      <c r="F140" s="9" t="s">
        <v>576</v>
      </c>
      <c r="G140" s="9" t="s">
        <v>577</v>
      </c>
      <c r="H140" s="9" t="s">
        <v>579</v>
      </c>
      <c r="I140" s="10" t="s">
        <v>666</v>
      </c>
      <c r="J140" s="8" t="s">
        <v>669</v>
      </c>
      <c r="K140" s="10" t="s">
        <v>670</v>
      </c>
    </row>
    <row r="141" spans="4:11" ht="48">
      <c r="D141" s="13">
        <v>45577</v>
      </c>
      <c r="E141" s="14" t="s">
        <v>660</v>
      </c>
      <c r="F141" s="9" t="s">
        <v>580</v>
      </c>
      <c r="G141" s="9" t="s">
        <v>581</v>
      </c>
      <c r="H141" s="9" t="s">
        <v>583</v>
      </c>
      <c r="I141" s="10" t="s">
        <v>666</v>
      </c>
      <c r="J141" s="8" t="s">
        <v>669</v>
      </c>
      <c r="K141" s="10" t="s">
        <v>670</v>
      </c>
    </row>
    <row r="142" spans="4:11" ht="48">
      <c r="D142" s="13">
        <v>45578</v>
      </c>
      <c r="E142" s="14" t="s">
        <v>661</v>
      </c>
      <c r="F142" s="9" t="s">
        <v>584</v>
      </c>
      <c r="G142" s="9" t="s">
        <v>585</v>
      </c>
      <c r="H142" s="9" t="s">
        <v>587</v>
      </c>
      <c r="I142" s="10" t="s">
        <v>666</v>
      </c>
      <c r="J142" s="8" t="s">
        <v>669</v>
      </c>
      <c r="K142" s="10" t="s">
        <v>670</v>
      </c>
    </row>
    <row r="143" spans="4:11" ht="48">
      <c r="D143" s="13">
        <v>45579</v>
      </c>
      <c r="E143" s="14" t="s">
        <v>662</v>
      </c>
      <c r="F143" s="9" t="s">
        <v>588</v>
      </c>
      <c r="G143" s="9" t="s">
        <v>589</v>
      </c>
      <c r="H143" s="9" t="s">
        <v>591</v>
      </c>
      <c r="I143" s="10" t="s">
        <v>666</v>
      </c>
      <c r="J143" s="8" t="s">
        <v>669</v>
      </c>
      <c r="K143" s="10" t="s">
        <v>670</v>
      </c>
    </row>
    <row r="144" spans="4:11" ht="48">
      <c r="D144" s="13">
        <v>45580</v>
      </c>
      <c r="E144" s="14" t="s">
        <v>883</v>
      </c>
      <c r="F144" s="6" t="s">
        <v>673</v>
      </c>
      <c r="G144" s="6" t="s">
        <v>674</v>
      </c>
      <c r="H144" s="6" t="s">
        <v>676</v>
      </c>
      <c r="I144" s="10" t="s">
        <v>666</v>
      </c>
      <c r="J144" s="8" t="s">
        <v>882</v>
      </c>
      <c r="K144" s="10" t="s">
        <v>670</v>
      </c>
    </row>
    <row r="145" spans="4:11" ht="48">
      <c r="D145" s="13">
        <v>45581</v>
      </c>
      <c r="E145" s="14" t="s">
        <v>884</v>
      </c>
      <c r="F145" s="6" t="s">
        <v>677</v>
      </c>
      <c r="G145" s="6" t="s">
        <v>678</v>
      </c>
      <c r="H145" s="6" t="s">
        <v>680</v>
      </c>
      <c r="I145" s="10" t="s">
        <v>666</v>
      </c>
      <c r="J145" s="8" t="s">
        <v>882</v>
      </c>
      <c r="K145" s="10" t="s">
        <v>670</v>
      </c>
    </row>
    <row r="146" spans="4:11" ht="48">
      <c r="D146" s="13">
        <v>45582</v>
      </c>
      <c r="E146" s="14" t="s">
        <v>885</v>
      </c>
      <c r="F146" s="6" t="s">
        <v>681</v>
      </c>
      <c r="G146" s="6" t="s">
        <v>682</v>
      </c>
      <c r="H146" s="6" t="s">
        <v>684</v>
      </c>
      <c r="I146" s="10" t="s">
        <v>666</v>
      </c>
      <c r="J146" s="8" t="s">
        <v>882</v>
      </c>
      <c r="K146" s="10" t="s">
        <v>670</v>
      </c>
    </row>
    <row r="147" spans="4:11" ht="48">
      <c r="D147" s="13">
        <v>45583</v>
      </c>
      <c r="E147" s="14" t="s">
        <v>886</v>
      </c>
      <c r="F147" s="6" t="s">
        <v>685</v>
      </c>
      <c r="G147" s="6" t="s">
        <v>686</v>
      </c>
      <c r="H147" s="6" t="s">
        <v>688</v>
      </c>
      <c r="I147" s="10" t="s">
        <v>666</v>
      </c>
      <c r="J147" s="8" t="s">
        <v>882</v>
      </c>
      <c r="K147" s="10" t="s">
        <v>670</v>
      </c>
    </row>
    <row r="148" spans="4:11" ht="48">
      <c r="D148" s="13">
        <v>45584</v>
      </c>
      <c r="E148" s="14" t="s">
        <v>887</v>
      </c>
      <c r="F148" s="6" t="s">
        <v>560</v>
      </c>
      <c r="G148" s="6" t="s">
        <v>561</v>
      </c>
      <c r="H148" s="6" t="s">
        <v>563</v>
      </c>
      <c r="I148" s="10" t="s">
        <v>666</v>
      </c>
      <c r="J148" s="8" t="s">
        <v>882</v>
      </c>
      <c r="K148" s="10" t="s">
        <v>670</v>
      </c>
    </row>
    <row r="149" spans="4:11" ht="48">
      <c r="D149" s="13">
        <v>45585</v>
      </c>
      <c r="E149" s="14" t="s">
        <v>888</v>
      </c>
      <c r="F149" s="6" t="s">
        <v>564</v>
      </c>
      <c r="G149" s="6" t="s">
        <v>565</v>
      </c>
      <c r="H149" s="6" t="s">
        <v>567</v>
      </c>
      <c r="I149" s="10" t="s">
        <v>666</v>
      </c>
      <c r="J149" s="8" t="s">
        <v>882</v>
      </c>
      <c r="K149" s="10" t="s">
        <v>670</v>
      </c>
    </row>
    <row r="150" spans="4:11" ht="48">
      <c r="D150" s="13">
        <v>45586</v>
      </c>
      <c r="E150" s="14" t="s">
        <v>889</v>
      </c>
      <c r="F150" s="6" t="s">
        <v>568</v>
      </c>
      <c r="G150" s="6" t="s">
        <v>569</v>
      </c>
      <c r="H150" s="6" t="s">
        <v>571</v>
      </c>
      <c r="I150" s="10" t="s">
        <v>666</v>
      </c>
      <c r="J150" s="8" t="s">
        <v>882</v>
      </c>
      <c r="K150" s="10" t="s">
        <v>670</v>
      </c>
    </row>
    <row r="151" spans="4:11" ht="48">
      <c r="D151" s="13">
        <v>45587</v>
      </c>
      <c r="E151" s="14" t="s">
        <v>890</v>
      </c>
      <c r="F151" s="6" t="s">
        <v>689</v>
      </c>
      <c r="G151" s="6" t="s">
        <v>690</v>
      </c>
      <c r="H151" s="6" t="s">
        <v>692</v>
      </c>
      <c r="I151" s="10" t="s">
        <v>666</v>
      </c>
      <c r="J151" s="8" t="s">
        <v>882</v>
      </c>
      <c r="K151" s="10" t="s">
        <v>670</v>
      </c>
    </row>
    <row r="152" spans="4:11" ht="48">
      <c r="D152" s="13">
        <v>45588</v>
      </c>
      <c r="E152" s="14" t="s">
        <v>891</v>
      </c>
      <c r="F152" s="6" t="s">
        <v>693</v>
      </c>
      <c r="G152" s="6" t="s">
        <v>694</v>
      </c>
      <c r="H152" s="6" t="s">
        <v>696</v>
      </c>
      <c r="I152" s="10" t="s">
        <v>666</v>
      </c>
      <c r="J152" s="8" t="s">
        <v>882</v>
      </c>
      <c r="K152" s="10" t="s">
        <v>670</v>
      </c>
    </row>
    <row r="153" spans="4:11" ht="48">
      <c r="D153" s="13">
        <v>45589</v>
      </c>
      <c r="E153" s="14" t="s">
        <v>892</v>
      </c>
      <c r="F153" s="6" t="s">
        <v>697</v>
      </c>
      <c r="G153" s="6" t="s">
        <v>698</v>
      </c>
      <c r="H153" s="6" t="s">
        <v>700</v>
      </c>
      <c r="I153" s="10" t="s">
        <v>666</v>
      </c>
      <c r="J153" s="8" t="s">
        <v>882</v>
      </c>
      <c r="K153" s="10" t="s">
        <v>670</v>
      </c>
    </row>
    <row r="154" spans="4:11" ht="48">
      <c r="D154" s="13">
        <v>45590</v>
      </c>
      <c r="E154" s="14" t="s">
        <v>893</v>
      </c>
      <c r="F154" s="6" t="s">
        <v>701</v>
      </c>
      <c r="G154" s="6" t="s">
        <v>702</v>
      </c>
      <c r="H154" s="6" t="s">
        <v>704</v>
      </c>
      <c r="I154" s="10" t="s">
        <v>666</v>
      </c>
      <c r="J154" s="8" t="s">
        <v>882</v>
      </c>
      <c r="K154" s="10" t="s">
        <v>670</v>
      </c>
    </row>
    <row r="155" spans="4:11" ht="48">
      <c r="D155" s="13">
        <v>45591</v>
      </c>
      <c r="E155" s="14" t="s">
        <v>894</v>
      </c>
      <c r="F155" s="6" t="s">
        <v>705</v>
      </c>
      <c r="G155" s="6" t="s">
        <v>706</v>
      </c>
      <c r="H155" s="6" t="s">
        <v>708</v>
      </c>
      <c r="I155" s="10" t="s">
        <v>666</v>
      </c>
      <c r="J155" s="8" t="s">
        <v>882</v>
      </c>
      <c r="K155" s="10" t="s">
        <v>670</v>
      </c>
    </row>
    <row r="156" spans="4:11" ht="48">
      <c r="D156" s="13">
        <v>45592</v>
      </c>
      <c r="E156" s="14" t="s">
        <v>895</v>
      </c>
      <c r="F156" s="6" t="s">
        <v>709</v>
      </c>
      <c r="G156" s="6" t="s">
        <v>710</v>
      </c>
      <c r="H156" s="6" t="s">
        <v>712</v>
      </c>
      <c r="I156" s="10" t="s">
        <v>666</v>
      </c>
      <c r="J156" s="8" t="s">
        <v>882</v>
      </c>
      <c r="K156" s="10" t="s">
        <v>670</v>
      </c>
    </row>
    <row r="157" spans="4:11" ht="48">
      <c r="D157" s="13">
        <v>45593</v>
      </c>
      <c r="E157" s="14" t="s">
        <v>896</v>
      </c>
      <c r="F157" s="6" t="s">
        <v>713</v>
      </c>
      <c r="G157" s="6" t="s">
        <v>714</v>
      </c>
      <c r="H157" s="6" t="s">
        <v>716</v>
      </c>
      <c r="I157" s="10" t="s">
        <v>666</v>
      </c>
      <c r="J157" s="8" t="s">
        <v>882</v>
      </c>
      <c r="K157" s="10" t="s">
        <v>670</v>
      </c>
    </row>
    <row r="158" spans="4:11" ht="48">
      <c r="D158" s="13">
        <v>45594</v>
      </c>
      <c r="E158" s="14" t="s">
        <v>897</v>
      </c>
      <c r="F158" s="6" t="s">
        <v>717</v>
      </c>
      <c r="G158" s="6" t="s">
        <v>718</v>
      </c>
      <c r="H158" s="6" t="s">
        <v>720</v>
      </c>
      <c r="I158" s="10" t="s">
        <v>666</v>
      </c>
      <c r="J158" s="8" t="s">
        <v>882</v>
      </c>
      <c r="K158" s="10" t="s">
        <v>670</v>
      </c>
    </row>
    <row r="159" spans="4:11" ht="48">
      <c r="D159" s="13">
        <v>45595</v>
      </c>
      <c r="E159" s="14" t="s">
        <v>898</v>
      </c>
      <c r="F159" s="6" t="s">
        <v>721</v>
      </c>
      <c r="G159" s="6" t="s">
        <v>722</v>
      </c>
      <c r="H159" s="6" t="s">
        <v>724</v>
      </c>
      <c r="I159" s="10" t="s">
        <v>666</v>
      </c>
      <c r="J159" s="8" t="s">
        <v>882</v>
      </c>
      <c r="K159" s="10" t="s">
        <v>670</v>
      </c>
    </row>
    <row r="160" spans="4:11" ht="48">
      <c r="D160" s="13">
        <v>45596</v>
      </c>
      <c r="E160" s="14" t="s">
        <v>899</v>
      </c>
      <c r="F160" s="6" t="s">
        <v>725</v>
      </c>
      <c r="G160" s="6" t="s">
        <v>726</v>
      </c>
      <c r="H160" s="6" t="s">
        <v>728</v>
      </c>
      <c r="I160" s="10" t="s">
        <v>666</v>
      </c>
      <c r="J160" s="8" t="s">
        <v>882</v>
      </c>
      <c r="K160" s="10" t="s">
        <v>670</v>
      </c>
    </row>
    <row r="161" spans="4:11" ht="48">
      <c r="D161" s="13">
        <v>45597</v>
      </c>
      <c r="E161" s="14" t="s">
        <v>900</v>
      </c>
      <c r="F161" s="6" t="s">
        <v>564</v>
      </c>
      <c r="G161" s="6" t="s">
        <v>565</v>
      </c>
      <c r="H161" s="6" t="s">
        <v>567</v>
      </c>
      <c r="I161" s="10" t="s">
        <v>666</v>
      </c>
      <c r="J161" s="8" t="s">
        <v>882</v>
      </c>
      <c r="K161" s="10" t="s">
        <v>670</v>
      </c>
    </row>
    <row r="162" spans="4:11" ht="48">
      <c r="D162" s="13">
        <v>45598</v>
      </c>
      <c r="E162" s="14" t="s">
        <v>901</v>
      </c>
      <c r="F162" s="6" t="s">
        <v>568</v>
      </c>
      <c r="G162" s="6" t="s">
        <v>569</v>
      </c>
      <c r="H162" s="6" t="s">
        <v>571</v>
      </c>
      <c r="I162" s="10" t="s">
        <v>666</v>
      </c>
      <c r="J162" s="8" t="s">
        <v>882</v>
      </c>
      <c r="K162" s="10" t="s">
        <v>670</v>
      </c>
    </row>
    <row r="163" spans="4:11" ht="48">
      <c r="D163" s="13">
        <v>45599</v>
      </c>
      <c r="E163" s="14" t="s">
        <v>902</v>
      </c>
      <c r="F163" s="6" t="s">
        <v>729</v>
      </c>
      <c r="G163" s="6" t="s">
        <v>730</v>
      </c>
      <c r="H163" s="6" t="s">
        <v>732</v>
      </c>
      <c r="I163" s="10" t="s">
        <v>666</v>
      </c>
      <c r="J163" s="8" t="s">
        <v>882</v>
      </c>
      <c r="K163" s="10" t="s">
        <v>670</v>
      </c>
    </row>
    <row r="164" spans="4:11" ht="48">
      <c r="D164" s="13">
        <v>45600</v>
      </c>
      <c r="E164" s="14" t="s">
        <v>903</v>
      </c>
      <c r="F164" s="6" t="s">
        <v>733</v>
      </c>
      <c r="G164" s="6" t="s">
        <v>734</v>
      </c>
      <c r="H164" s="6" t="s">
        <v>736</v>
      </c>
      <c r="I164" s="10" t="s">
        <v>666</v>
      </c>
      <c r="J164" s="8" t="s">
        <v>882</v>
      </c>
      <c r="K164" s="10" t="s">
        <v>670</v>
      </c>
    </row>
    <row r="165" spans="4:11" ht="48">
      <c r="D165" s="13">
        <v>45601</v>
      </c>
      <c r="E165" s="14" t="s">
        <v>904</v>
      </c>
      <c r="F165" s="6" t="s">
        <v>737</v>
      </c>
      <c r="G165" s="6" t="s">
        <v>738</v>
      </c>
      <c r="H165" s="6" t="s">
        <v>740</v>
      </c>
      <c r="I165" s="10" t="s">
        <v>666</v>
      </c>
      <c r="J165" s="8" t="s">
        <v>882</v>
      </c>
      <c r="K165" s="10" t="s">
        <v>670</v>
      </c>
    </row>
    <row r="166" spans="4:11" ht="48">
      <c r="D166" s="13">
        <v>45602</v>
      </c>
      <c r="E166" s="14" t="s">
        <v>905</v>
      </c>
      <c r="F166" s="6" t="s">
        <v>741</v>
      </c>
      <c r="G166" s="6" t="s">
        <v>742</v>
      </c>
      <c r="H166" s="6" t="s">
        <v>744</v>
      </c>
      <c r="I166" s="10" t="s">
        <v>666</v>
      </c>
      <c r="J166" s="8" t="s">
        <v>882</v>
      </c>
      <c r="K166" s="10" t="s">
        <v>670</v>
      </c>
    </row>
    <row r="167" spans="4:11" ht="48">
      <c r="D167" s="13">
        <v>45603</v>
      </c>
      <c r="E167" s="14" t="s">
        <v>906</v>
      </c>
      <c r="F167" s="6" t="s">
        <v>745</v>
      </c>
      <c r="G167" s="6" t="s">
        <v>746</v>
      </c>
      <c r="H167" s="6" t="s">
        <v>748</v>
      </c>
      <c r="I167" s="10" t="s">
        <v>666</v>
      </c>
      <c r="J167" s="8" t="s">
        <v>882</v>
      </c>
      <c r="K167" s="10" t="s">
        <v>670</v>
      </c>
    </row>
    <row r="168" spans="4:11" ht="48">
      <c r="D168" s="13">
        <v>45604</v>
      </c>
      <c r="E168" s="14" t="s">
        <v>907</v>
      </c>
      <c r="F168" s="6" t="s">
        <v>749</v>
      </c>
      <c r="G168" s="6" t="s">
        <v>750</v>
      </c>
      <c r="H168" s="6" t="s">
        <v>752</v>
      </c>
      <c r="I168" s="10" t="s">
        <v>666</v>
      </c>
      <c r="J168" s="8" t="s">
        <v>882</v>
      </c>
      <c r="K168" s="10" t="s">
        <v>670</v>
      </c>
    </row>
    <row r="169" spans="4:11" ht="48">
      <c r="D169" s="13">
        <v>45605</v>
      </c>
      <c r="E169" s="14" t="s">
        <v>908</v>
      </c>
      <c r="F169" s="6" t="s">
        <v>753</v>
      </c>
      <c r="G169" s="6" t="s">
        <v>754</v>
      </c>
      <c r="H169" s="6" t="s">
        <v>756</v>
      </c>
      <c r="I169" s="10" t="s">
        <v>666</v>
      </c>
      <c r="J169" s="8" t="s">
        <v>882</v>
      </c>
      <c r="K169" s="10" t="s">
        <v>670</v>
      </c>
    </row>
    <row r="170" spans="4:11" ht="48">
      <c r="D170" s="13">
        <v>45606</v>
      </c>
      <c r="E170" s="14" t="s">
        <v>909</v>
      </c>
      <c r="F170" s="6" t="s">
        <v>757</v>
      </c>
      <c r="G170" s="6" t="s">
        <v>758</v>
      </c>
      <c r="H170" s="6" t="s">
        <v>760</v>
      </c>
      <c r="I170" s="10" t="s">
        <v>666</v>
      </c>
      <c r="J170" s="8" t="s">
        <v>882</v>
      </c>
      <c r="K170" s="10" t="s">
        <v>670</v>
      </c>
    </row>
    <row r="171" spans="4:11" ht="48">
      <c r="D171" s="13">
        <v>45607</v>
      </c>
      <c r="E171" s="14" t="s">
        <v>910</v>
      </c>
      <c r="F171" s="6" t="s">
        <v>761</v>
      </c>
      <c r="G171" s="6" t="s">
        <v>762</v>
      </c>
      <c r="H171" s="6" t="s">
        <v>764</v>
      </c>
      <c r="I171" s="10" t="s">
        <v>666</v>
      </c>
      <c r="J171" s="8" t="s">
        <v>882</v>
      </c>
      <c r="K171" s="10" t="s">
        <v>670</v>
      </c>
    </row>
    <row r="172" spans="4:11" ht="48">
      <c r="D172" s="13">
        <v>45608</v>
      </c>
      <c r="E172" s="14" t="s">
        <v>911</v>
      </c>
      <c r="F172" s="6" t="s">
        <v>765</v>
      </c>
      <c r="G172" s="6" t="s">
        <v>766</v>
      </c>
      <c r="H172" s="6" t="s">
        <v>768</v>
      </c>
      <c r="I172" s="10" t="s">
        <v>666</v>
      </c>
      <c r="J172" s="8" t="s">
        <v>882</v>
      </c>
      <c r="K172" s="10" t="s">
        <v>670</v>
      </c>
    </row>
    <row r="173" spans="4:11" ht="48">
      <c r="D173" s="13">
        <v>45609</v>
      </c>
      <c r="E173" s="14" t="s">
        <v>912</v>
      </c>
      <c r="F173" s="6" t="s">
        <v>769</v>
      </c>
      <c r="G173" s="6" t="s">
        <v>770</v>
      </c>
      <c r="H173" s="6" t="s">
        <v>772</v>
      </c>
      <c r="I173" s="10" t="s">
        <v>666</v>
      </c>
      <c r="J173" s="8" t="s">
        <v>882</v>
      </c>
      <c r="K173" s="10" t="s">
        <v>670</v>
      </c>
    </row>
    <row r="174" spans="4:11" ht="48">
      <c r="D174" s="13">
        <v>45610</v>
      </c>
      <c r="E174" s="14" t="s">
        <v>913</v>
      </c>
      <c r="F174" s="6" t="s">
        <v>773</v>
      </c>
      <c r="G174" s="6" t="s">
        <v>774</v>
      </c>
      <c r="H174" s="6" t="s">
        <v>776</v>
      </c>
      <c r="I174" s="10" t="s">
        <v>666</v>
      </c>
      <c r="J174" s="8" t="s">
        <v>882</v>
      </c>
      <c r="K174" s="10" t="s">
        <v>670</v>
      </c>
    </row>
    <row r="175" spans="4:11" ht="48">
      <c r="D175" s="13">
        <v>45611</v>
      </c>
      <c r="E175" s="14" t="s">
        <v>914</v>
      </c>
      <c r="F175" s="6" t="s">
        <v>560</v>
      </c>
      <c r="G175" s="6" t="s">
        <v>561</v>
      </c>
      <c r="H175" s="6" t="s">
        <v>777</v>
      </c>
      <c r="I175" s="10" t="s">
        <v>666</v>
      </c>
      <c r="J175" s="8" t="s">
        <v>882</v>
      </c>
      <c r="K175" s="10" t="s">
        <v>670</v>
      </c>
    </row>
    <row r="176" spans="4:11" ht="48">
      <c r="D176" s="13">
        <v>45612</v>
      </c>
      <c r="E176" s="14" t="s">
        <v>915</v>
      </c>
      <c r="F176" s="6" t="s">
        <v>564</v>
      </c>
      <c r="G176" s="6" t="s">
        <v>565</v>
      </c>
      <c r="H176" s="6" t="s">
        <v>567</v>
      </c>
      <c r="I176" s="10" t="s">
        <v>666</v>
      </c>
      <c r="J176" s="8" t="s">
        <v>882</v>
      </c>
      <c r="K176" s="10" t="s">
        <v>670</v>
      </c>
    </row>
    <row r="177" spans="4:11" ht="48">
      <c r="D177" s="13">
        <v>45613</v>
      </c>
      <c r="E177" s="14" t="s">
        <v>916</v>
      </c>
      <c r="F177" s="6" t="s">
        <v>568</v>
      </c>
      <c r="G177" s="6" t="s">
        <v>569</v>
      </c>
      <c r="H177" s="6" t="s">
        <v>571</v>
      </c>
      <c r="I177" s="10" t="s">
        <v>666</v>
      </c>
      <c r="J177" s="8" t="s">
        <v>882</v>
      </c>
      <c r="K177" s="10" t="s">
        <v>670</v>
      </c>
    </row>
    <row r="178" spans="4:11" ht="48">
      <c r="D178" s="13">
        <v>45614</v>
      </c>
      <c r="E178" s="14" t="s">
        <v>917</v>
      </c>
      <c r="F178" s="6" t="s">
        <v>778</v>
      </c>
      <c r="G178" s="6" t="s">
        <v>779</v>
      </c>
      <c r="H178" s="6" t="s">
        <v>781</v>
      </c>
      <c r="I178" s="10" t="s">
        <v>666</v>
      </c>
      <c r="J178" s="8" t="s">
        <v>882</v>
      </c>
      <c r="K178" s="10" t="s">
        <v>670</v>
      </c>
    </row>
    <row r="179" spans="4:11" ht="48">
      <c r="D179" s="13">
        <v>45615</v>
      </c>
      <c r="E179" s="14" t="s">
        <v>918</v>
      </c>
      <c r="F179" s="6" t="s">
        <v>782</v>
      </c>
      <c r="G179" s="6" t="s">
        <v>783</v>
      </c>
      <c r="H179" s="6" t="s">
        <v>785</v>
      </c>
      <c r="I179" s="10" t="s">
        <v>666</v>
      </c>
      <c r="J179" s="8" t="s">
        <v>882</v>
      </c>
      <c r="K179" s="10" t="s">
        <v>670</v>
      </c>
    </row>
    <row r="180" spans="4:11" ht="48">
      <c r="D180" s="13">
        <v>45616</v>
      </c>
      <c r="E180" s="14" t="s">
        <v>919</v>
      </c>
      <c r="F180" s="6" t="s">
        <v>786</v>
      </c>
      <c r="G180" s="6" t="s">
        <v>787</v>
      </c>
      <c r="H180" s="6" t="s">
        <v>789</v>
      </c>
      <c r="I180" s="10" t="s">
        <v>666</v>
      </c>
      <c r="J180" s="8" t="s">
        <v>882</v>
      </c>
      <c r="K180" s="10" t="s">
        <v>670</v>
      </c>
    </row>
    <row r="181" spans="4:11" ht="48">
      <c r="D181" s="13">
        <v>45617</v>
      </c>
      <c r="E181" s="14" t="s">
        <v>920</v>
      </c>
      <c r="F181" s="6" t="s">
        <v>790</v>
      </c>
      <c r="G181" s="6" t="s">
        <v>791</v>
      </c>
      <c r="H181" s="6" t="s">
        <v>793</v>
      </c>
      <c r="I181" s="10" t="s">
        <v>666</v>
      </c>
      <c r="J181" s="8" t="s">
        <v>882</v>
      </c>
      <c r="K181" s="10" t="s">
        <v>670</v>
      </c>
    </row>
    <row r="182" spans="4:11" ht="48">
      <c r="D182" s="13">
        <v>45618</v>
      </c>
      <c r="E182" s="14" t="s">
        <v>921</v>
      </c>
      <c r="F182" s="6" t="s">
        <v>794</v>
      </c>
      <c r="G182" s="6" t="s">
        <v>795</v>
      </c>
      <c r="H182" s="6" t="s">
        <v>797</v>
      </c>
      <c r="I182" s="10" t="s">
        <v>666</v>
      </c>
      <c r="J182" s="8" t="s">
        <v>882</v>
      </c>
      <c r="K182" s="10" t="s">
        <v>670</v>
      </c>
    </row>
    <row r="183" spans="4:11" ht="48">
      <c r="D183" s="13">
        <v>45619</v>
      </c>
      <c r="E183" s="14" t="s">
        <v>922</v>
      </c>
      <c r="F183" s="6" t="s">
        <v>798</v>
      </c>
      <c r="G183" s="6" t="s">
        <v>799</v>
      </c>
      <c r="H183" s="6" t="s">
        <v>801</v>
      </c>
      <c r="I183" s="10" t="s">
        <v>666</v>
      </c>
      <c r="J183" s="8" t="s">
        <v>882</v>
      </c>
      <c r="K183" s="10" t="s">
        <v>670</v>
      </c>
    </row>
    <row r="184" spans="4:11" ht="48">
      <c r="D184" s="13">
        <v>45620</v>
      </c>
      <c r="E184" s="14" t="s">
        <v>923</v>
      </c>
      <c r="F184" s="6" t="s">
        <v>802</v>
      </c>
      <c r="G184" s="6" t="s">
        <v>803</v>
      </c>
      <c r="H184" s="6" t="s">
        <v>805</v>
      </c>
      <c r="I184" s="10" t="s">
        <v>666</v>
      </c>
      <c r="J184" s="8" t="s">
        <v>882</v>
      </c>
      <c r="K184" s="10" t="s">
        <v>670</v>
      </c>
    </row>
    <row r="185" spans="4:11" ht="48">
      <c r="D185" s="13">
        <v>45621</v>
      </c>
      <c r="E185" s="14" t="s">
        <v>924</v>
      </c>
      <c r="F185" s="6" t="s">
        <v>806</v>
      </c>
      <c r="G185" s="6" t="s">
        <v>807</v>
      </c>
      <c r="H185" s="6" t="s">
        <v>809</v>
      </c>
      <c r="I185" s="10" t="s">
        <v>666</v>
      </c>
      <c r="J185" s="8" t="s">
        <v>882</v>
      </c>
      <c r="K185" s="10" t="s">
        <v>670</v>
      </c>
    </row>
    <row r="186" spans="4:11" ht="48">
      <c r="D186" s="13">
        <v>45622</v>
      </c>
      <c r="E186" s="14" t="s">
        <v>925</v>
      </c>
      <c r="F186" s="6" t="s">
        <v>810</v>
      </c>
      <c r="G186" s="6" t="s">
        <v>811</v>
      </c>
      <c r="H186" s="6" t="s">
        <v>813</v>
      </c>
      <c r="I186" s="10" t="s">
        <v>666</v>
      </c>
      <c r="J186" s="8" t="s">
        <v>882</v>
      </c>
      <c r="K186" s="10" t="s">
        <v>670</v>
      </c>
    </row>
    <row r="187" spans="4:11" ht="48">
      <c r="D187" s="13">
        <v>45623</v>
      </c>
      <c r="E187" s="14" t="s">
        <v>926</v>
      </c>
      <c r="F187" s="6" t="s">
        <v>814</v>
      </c>
      <c r="G187" s="6" t="s">
        <v>815</v>
      </c>
      <c r="H187" s="6" t="s">
        <v>817</v>
      </c>
      <c r="I187" s="10" t="s">
        <v>666</v>
      </c>
      <c r="J187" s="8" t="s">
        <v>882</v>
      </c>
      <c r="K187" s="10" t="s">
        <v>670</v>
      </c>
    </row>
    <row r="188" spans="4:11" ht="48">
      <c r="D188" s="13">
        <v>45624</v>
      </c>
      <c r="E188" s="14" t="s">
        <v>927</v>
      </c>
      <c r="F188" s="6" t="s">
        <v>818</v>
      </c>
      <c r="G188" s="6" t="s">
        <v>819</v>
      </c>
      <c r="H188" s="6" t="s">
        <v>821</v>
      </c>
      <c r="I188" s="10" t="s">
        <v>666</v>
      </c>
      <c r="J188" s="8" t="s">
        <v>882</v>
      </c>
      <c r="K188" s="10" t="s">
        <v>670</v>
      </c>
    </row>
    <row r="189" spans="4:11" ht="48">
      <c r="D189" s="13">
        <v>45625</v>
      </c>
      <c r="E189" s="14" t="s">
        <v>928</v>
      </c>
      <c r="F189" s="6" t="s">
        <v>822</v>
      </c>
      <c r="G189" s="6" t="s">
        <v>823</v>
      </c>
      <c r="H189" s="6" t="s">
        <v>825</v>
      </c>
      <c r="I189" s="10" t="s">
        <v>666</v>
      </c>
      <c r="J189" s="8" t="s">
        <v>882</v>
      </c>
      <c r="K189" s="10" t="s">
        <v>670</v>
      </c>
    </row>
    <row r="190" spans="4:11" ht="48">
      <c r="D190" s="13">
        <v>45626</v>
      </c>
      <c r="E190" s="14" t="s">
        <v>929</v>
      </c>
      <c r="F190" s="6" t="s">
        <v>826</v>
      </c>
      <c r="G190" s="6" t="s">
        <v>827</v>
      </c>
      <c r="H190" s="6" t="s">
        <v>829</v>
      </c>
      <c r="I190" s="10" t="s">
        <v>666</v>
      </c>
      <c r="J190" s="8" t="s">
        <v>882</v>
      </c>
      <c r="K190" s="10" t="s">
        <v>670</v>
      </c>
    </row>
    <row r="191" spans="4:11" ht="48">
      <c r="D191" s="13">
        <v>45627</v>
      </c>
      <c r="E191" s="14" t="s">
        <v>930</v>
      </c>
      <c r="F191" s="6" t="s">
        <v>830</v>
      </c>
      <c r="G191" s="6" t="s">
        <v>831</v>
      </c>
      <c r="H191" s="6" t="s">
        <v>833</v>
      </c>
      <c r="I191" s="10" t="s">
        <v>666</v>
      </c>
      <c r="J191" s="8" t="s">
        <v>882</v>
      </c>
      <c r="K191" s="10" t="s">
        <v>670</v>
      </c>
    </row>
    <row r="192" spans="4:11" ht="48">
      <c r="D192" s="13">
        <v>45628</v>
      </c>
      <c r="E192" s="14" t="s">
        <v>931</v>
      </c>
      <c r="F192" s="6" t="s">
        <v>834</v>
      </c>
      <c r="G192" s="6" t="s">
        <v>835</v>
      </c>
      <c r="H192" s="6" t="s">
        <v>837</v>
      </c>
      <c r="I192" s="10" t="s">
        <v>666</v>
      </c>
      <c r="J192" s="8" t="s">
        <v>882</v>
      </c>
      <c r="K192" s="10" t="s">
        <v>670</v>
      </c>
    </row>
    <row r="193" spans="4:11" ht="48">
      <c r="D193" s="13">
        <v>45629</v>
      </c>
      <c r="E193" s="14" t="s">
        <v>932</v>
      </c>
      <c r="F193" s="6" t="s">
        <v>838</v>
      </c>
      <c r="G193" s="6" t="s">
        <v>839</v>
      </c>
      <c r="H193" s="6" t="s">
        <v>841</v>
      </c>
      <c r="I193" s="10" t="s">
        <v>666</v>
      </c>
      <c r="J193" s="8" t="s">
        <v>882</v>
      </c>
      <c r="K193" s="10" t="s">
        <v>670</v>
      </c>
    </row>
    <row r="194" spans="4:11" ht="48">
      <c r="D194" s="13">
        <v>45630</v>
      </c>
      <c r="E194" s="14" t="s">
        <v>933</v>
      </c>
      <c r="F194" s="6" t="s">
        <v>842</v>
      </c>
      <c r="G194" s="6" t="s">
        <v>843</v>
      </c>
      <c r="H194" s="6" t="s">
        <v>845</v>
      </c>
      <c r="I194" s="10" t="s">
        <v>666</v>
      </c>
      <c r="J194" s="8" t="s">
        <v>882</v>
      </c>
      <c r="K194" s="10" t="s">
        <v>670</v>
      </c>
    </row>
    <row r="195" spans="4:11" ht="48">
      <c r="D195" s="13">
        <v>45631</v>
      </c>
      <c r="E195" s="14" t="s">
        <v>934</v>
      </c>
      <c r="F195" s="6" t="s">
        <v>846</v>
      </c>
      <c r="G195" s="6" t="s">
        <v>847</v>
      </c>
      <c r="H195" s="6" t="s">
        <v>849</v>
      </c>
      <c r="I195" s="10" t="s">
        <v>666</v>
      </c>
      <c r="J195" s="8" t="s">
        <v>882</v>
      </c>
      <c r="K195" s="10" t="s">
        <v>670</v>
      </c>
    </row>
    <row r="196" spans="4:11" ht="48">
      <c r="D196" s="13">
        <v>45632</v>
      </c>
      <c r="E196" s="14" t="s">
        <v>935</v>
      </c>
      <c r="F196" s="6" t="s">
        <v>850</v>
      </c>
      <c r="G196" s="6" t="s">
        <v>851</v>
      </c>
      <c r="H196" s="6" t="s">
        <v>853</v>
      </c>
      <c r="I196" s="10" t="s">
        <v>666</v>
      </c>
      <c r="J196" s="8" t="s">
        <v>882</v>
      </c>
      <c r="K196" s="10" t="s">
        <v>670</v>
      </c>
    </row>
    <row r="197" spans="4:11" ht="48">
      <c r="D197" s="13">
        <v>45633</v>
      </c>
      <c r="E197" s="14" t="s">
        <v>936</v>
      </c>
      <c r="F197" s="6" t="s">
        <v>854</v>
      </c>
      <c r="G197" s="6" t="s">
        <v>855</v>
      </c>
      <c r="H197" s="6" t="s">
        <v>857</v>
      </c>
      <c r="I197" s="10" t="s">
        <v>666</v>
      </c>
      <c r="J197" s="8" t="s">
        <v>882</v>
      </c>
      <c r="K197" s="10" t="s">
        <v>670</v>
      </c>
    </row>
    <row r="198" spans="4:11" ht="48">
      <c r="D198" s="13">
        <v>45634</v>
      </c>
      <c r="E198" s="14" t="s">
        <v>937</v>
      </c>
      <c r="F198" s="6" t="s">
        <v>858</v>
      </c>
      <c r="G198" s="6" t="s">
        <v>859</v>
      </c>
      <c r="H198" s="6" t="s">
        <v>861</v>
      </c>
      <c r="I198" s="10" t="s">
        <v>666</v>
      </c>
      <c r="J198" s="8" t="s">
        <v>882</v>
      </c>
      <c r="K198" s="10" t="s">
        <v>670</v>
      </c>
    </row>
    <row r="199" spans="4:11" ht="48">
      <c r="D199" s="13">
        <v>45635</v>
      </c>
      <c r="E199" s="14" t="s">
        <v>938</v>
      </c>
      <c r="F199" s="6" t="s">
        <v>862</v>
      </c>
      <c r="G199" s="6" t="s">
        <v>863</v>
      </c>
      <c r="H199" s="6" t="s">
        <v>865</v>
      </c>
      <c r="I199" s="10" t="s">
        <v>666</v>
      </c>
      <c r="J199" s="8" t="s">
        <v>882</v>
      </c>
      <c r="K199" s="10" t="s">
        <v>670</v>
      </c>
    </row>
    <row r="200" spans="4:11" ht="48">
      <c r="D200" s="13">
        <v>45636</v>
      </c>
      <c r="E200" s="14" t="s">
        <v>939</v>
      </c>
      <c r="F200" s="6" t="s">
        <v>866</v>
      </c>
      <c r="G200" s="6" t="s">
        <v>867</v>
      </c>
      <c r="H200" s="6" t="s">
        <v>869</v>
      </c>
      <c r="I200" s="10" t="s">
        <v>666</v>
      </c>
      <c r="J200" s="8" t="s">
        <v>882</v>
      </c>
      <c r="K200" s="10" t="s">
        <v>670</v>
      </c>
    </row>
    <row r="201" spans="4:11" ht="48">
      <c r="D201" s="13">
        <v>45637</v>
      </c>
      <c r="E201" s="14" t="s">
        <v>940</v>
      </c>
      <c r="F201" s="6" t="s">
        <v>870</v>
      </c>
      <c r="G201" s="6" t="s">
        <v>871</v>
      </c>
      <c r="H201" s="6" t="s">
        <v>873</v>
      </c>
      <c r="I201" s="10" t="s">
        <v>666</v>
      </c>
      <c r="J201" s="8" t="s">
        <v>882</v>
      </c>
      <c r="K201" s="10" t="s">
        <v>670</v>
      </c>
    </row>
    <row r="202" spans="4:11" ht="48">
      <c r="D202" s="13">
        <v>45638</v>
      </c>
      <c r="E202" s="14" t="s">
        <v>941</v>
      </c>
      <c r="F202" s="6" t="s">
        <v>874</v>
      </c>
      <c r="G202" s="6" t="s">
        <v>875</v>
      </c>
      <c r="H202" s="6" t="s">
        <v>877</v>
      </c>
      <c r="I202" s="10" t="s">
        <v>666</v>
      </c>
      <c r="J202" s="8" t="s">
        <v>882</v>
      </c>
      <c r="K202" s="10" t="s">
        <v>670</v>
      </c>
    </row>
    <row r="203" spans="4:11" ht="48">
      <c r="D203" s="13">
        <v>45639</v>
      </c>
      <c r="E203" s="14" t="s">
        <v>942</v>
      </c>
      <c r="F203" s="6" t="s">
        <v>878</v>
      </c>
      <c r="G203" s="6" t="s">
        <v>879</v>
      </c>
      <c r="H203" s="6" t="s">
        <v>881</v>
      </c>
      <c r="I203" s="10" t="s">
        <v>666</v>
      </c>
      <c r="J203" s="8" t="s">
        <v>882</v>
      </c>
      <c r="K203" s="10" t="s">
        <v>670</v>
      </c>
    </row>
  </sheetData>
  <autoFilter ref="A1:K143" xr:uid="{D505749B-534E-47DC-9123-E17DB17AB29F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9F68-3DE2-2F46-AB5C-FCB075FF4B32}">
  <dimension ref="A1:A114"/>
  <sheetViews>
    <sheetView workbookViewId="0">
      <selection sqref="A1:XFD1048576"/>
    </sheetView>
  </sheetViews>
  <sheetFormatPr baseColWidth="10" defaultColWidth="11.5" defaultRowHeight="15"/>
  <sheetData>
    <row r="1" spans="1:1" ht="16">
      <c r="A1" s="16"/>
    </row>
    <row r="2" spans="1:1" ht="16">
      <c r="A2" s="17"/>
    </row>
    <row r="3" spans="1:1" ht="16">
      <c r="A3" s="18"/>
    </row>
    <row r="4" spans="1:1" ht="16">
      <c r="A4" s="19"/>
    </row>
    <row r="5" spans="1:1">
      <c r="A5" s="20"/>
    </row>
    <row r="6" spans="1:1">
      <c r="A6" s="21"/>
    </row>
    <row r="7" spans="1:1" ht="16">
      <c r="A7" s="17"/>
    </row>
    <row r="8" spans="1:1" ht="16">
      <c r="A8" s="18"/>
    </row>
    <row r="9" spans="1:1" ht="16">
      <c r="A9" s="19"/>
    </row>
    <row r="10" spans="1:1">
      <c r="A10" s="20"/>
    </row>
    <row r="11" spans="1:1" ht="16">
      <c r="A11" s="16"/>
    </row>
    <row r="12" spans="1:1" ht="16">
      <c r="A12" s="17"/>
    </row>
    <row r="13" spans="1:1" ht="16">
      <c r="A13" s="18"/>
    </row>
    <row r="14" spans="1:1" ht="16">
      <c r="A14" s="19"/>
    </row>
    <row r="15" spans="1:1">
      <c r="A15" s="20"/>
    </row>
    <row r="16" spans="1:1" ht="16">
      <c r="A16" s="16"/>
    </row>
    <row r="17" spans="1:1" ht="16">
      <c r="A17" s="17"/>
    </row>
    <row r="18" spans="1:1" ht="16">
      <c r="A18" s="18"/>
    </row>
    <row r="19" spans="1:1" ht="16">
      <c r="A19" s="19"/>
    </row>
    <row r="20" spans="1:1">
      <c r="A20" s="20"/>
    </row>
    <row r="21" spans="1:1" ht="16">
      <c r="A21" s="16"/>
    </row>
    <row r="22" spans="1:1" ht="16">
      <c r="A22" s="17"/>
    </row>
    <row r="23" spans="1:1" ht="16">
      <c r="A23" s="18"/>
    </row>
    <row r="24" spans="1:1" ht="16">
      <c r="A24" s="19"/>
    </row>
    <row r="25" spans="1:1">
      <c r="A25" s="20"/>
    </row>
    <row r="26" spans="1:1" ht="16">
      <c r="A26" s="16"/>
    </row>
    <row r="27" spans="1:1" ht="16">
      <c r="A27" s="17"/>
    </row>
    <row r="28" spans="1:1" ht="16">
      <c r="A28" s="18"/>
    </row>
    <row r="29" spans="1:1" ht="16">
      <c r="A29" s="19"/>
    </row>
    <row r="30" spans="1:1">
      <c r="A30" s="20"/>
    </row>
    <row r="31" spans="1:1" ht="16">
      <c r="A31" s="16"/>
    </row>
    <row r="32" spans="1:1" ht="16">
      <c r="A32" s="17"/>
    </row>
    <row r="33" spans="1:1" ht="16">
      <c r="A33" s="18"/>
    </row>
    <row r="34" spans="1:1" ht="16">
      <c r="A34" s="19"/>
    </row>
    <row r="35" spans="1:1">
      <c r="A35" s="20"/>
    </row>
    <row r="36" spans="1:1" ht="16">
      <c r="A36" s="16"/>
    </row>
    <row r="37" spans="1:1" ht="16">
      <c r="A37" s="17"/>
    </row>
    <row r="38" spans="1:1" ht="16">
      <c r="A38" s="18"/>
    </row>
    <row r="39" spans="1:1" ht="16">
      <c r="A39" s="19"/>
    </row>
    <row r="40" spans="1:1">
      <c r="A40" s="20"/>
    </row>
    <row r="41" spans="1:1" ht="16">
      <c r="A41" s="16"/>
    </row>
    <row r="42" spans="1:1" ht="16">
      <c r="A42" s="17"/>
    </row>
    <row r="43" spans="1:1" ht="16">
      <c r="A43" s="18"/>
    </row>
    <row r="44" spans="1:1" ht="16">
      <c r="A44" s="19"/>
    </row>
    <row r="45" spans="1:1">
      <c r="A45" s="20"/>
    </row>
    <row r="46" spans="1:1" ht="16">
      <c r="A46" s="16"/>
    </row>
    <row r="47" spans="1:1" ht="16">
      <c r="A47" s="17"/>
    </row>
    <row r="48" spans="1:1" ht="16">
      <c r="A48" s="18"/>
    </row>
    <row r="49" spans="1:1" ht="16">
      <c r="A49" s="19"/>
    </row>
    <row r="50" spans="1:1">
      <c r="A50" s="20"/>
    </row>
    <row r="51" spans="1:1" ht="16">
      <c r="A51" s="16"/>
    </row>
    <row r="52" spans="1:1" ht="16">
      <c r="A52" s="17"/>
    </row>
    <row r="53" spans="1:1" ht="16">
      <c r="A53" s="18"/>
    </row>
    <row r="54" spans="1:1" ht="16">
      <c r="A54" s="19"/>
    </row>
    <row r="55" spans="1:1">
      <c r="A55" s="20"/>
    </row>
    <row r="56" spans="1:1" ht="16">
      <c r="A56" s="16"/>
    </row>
    <row r="57" spans="1:1" ht="16">
      <c r="A57" s="17"/>
    </row>
    <row r="58" spans="1:1" ht="16">
      <c r="A58" s="18"/>
    </row>
    <row r="59" spans="1:1" ht="16">
      <c r="A59" s="19"/>
    </row>
    <row r="60" spans="1:1">
      <c r="A60" s="20"/>
    </row>
    <row r="61" spans="1:1" ht="16">
      <c r="A61" s="16"/>
    </row>
    <row r="62" spans="1:1" ht="16">
      <c r="A62" s="17"/>
    </row>
    <row r="63" spans="1:1" ht="16">
      <c r="A63" s="18"/>
    </row>
    <row r="64" spans="1:1" ht="16">
      <c r="A64" s="19"/>
    </row>
    <row r="65" spans="1:1">
      <c r="A65" s="20"/>
    </row>
    <row r="66" spans="1:1" ht="16">
      <c r="A66" s="16"/>
    </row>
    <row r="67" spans="1:1" ht="16">
      <c r="A67" s="17"/>
    </row>
    <row r="68" spans="1:1" ht="16">
      <c r="A68" s="18"/>
    </row>
    <row r="69" spans="1:1" ht="16">
      <c r="A69" s="19"/>
    </row>
    <row r="70" spans="1:1">
      <c r="A70" s="20"/>
    </row>
    <row r="71" spans="1:1" ht="16">
      <c r="A71" s="16"/>
    </row>
    <row r="72" spans="1:1" ht="16">
      <c r="A72" s="17"/>
    </row>
    <row r="73" spans="1:1" ht="16">
      <c r="A73" s="18"/>
    </row>
    <row r="74" spans="1:1" ht="16">
      <c r="A74" s="19"/>
    </row>
    <row r="75" spans="1:1">
      <c r="A75" s="20"/>
    </row>
    <row r="76" spans="1:1" ht="16">
      <c r="A76" s="16"/>
    </row>
    <row r="77" spans="1:1" ht="16">
      <c r="A77" s="17"/>
    </row>
    <row r="78" spans="1:1" ht="16">
      <c r="A78" s="18"/>
    </row>
    <row r="79" spans="1:1" ht="16">
      <c r="A79" s="19"/>
    </row>
    <row r="80" spans="1:1">
      <c r="A80" s="20"/>
    </row>
    <row r="81" spans="1:1" ht="16">
      <c r="A81" s="16"/>
    </row>
    <row r="82" spans="1:1" ht="16">
      <c r="A82" s="17"/>
    </row>
    <row r="83" spans="1:1" ht="16">
      <c r="A83" s="18"/>
    </row>
    <row r="84" spans="1:1" ht="16">
      <c r="A84" s="19"/>
    </row>
    <row r="85" spans="1:1">
      <c r="A85" s="20"/>
    </row>
    <row r="86" spans="1:1" ht="16">
      <c r="A86" s="16"/>
    </row>
    <row r="87" spans="1:1" ht="16">
      <c r="A87" s="17"/>
    </row>
    <row r="88" spans="1:1" ht="16">
      <c r="A88" s="18"/>
    </row>
    <row r="89" spans="1:1" ht="16">
      <c r="A89" s="19"/>
    </row>
    <row r="90" spans="1:1">
      <c r="A90" s="20"/>
    </row>
    <row r="91" spans="1:1" ht="16">
      <c r="A91" s="16"/>
    </row>
    <row r="92" spans="1:1" ht="16">
      <c r="A92" s="17"/>
    </row>
    <row r="93" spans="1:1" ht="16">
      <c r="A93" s="18"/>
    </row>
    <row r="94" spans="1:1" ht="16">
      <c r="A94" s="19"/>
    </row>
    <row r="95" spans="1:1">
      <c r="A95" s="20"/>
    </row>
    <row r="96" spans="1:1" ht="16">
      <c r="A96" s="16"/>
    </row>
    <row r="97" spans="1:1" ht="16">
      <c r="A97" s="17"/>
    </row>
    <row r="98" spans="1:1" ht="16">
      <c r="A98" s="18"/>
    </row>
    <row r="99" spans="1:1" ht="16">
      <c r="A99" s="19"/>
    </row>
    <row r="100" spans="1:1">
      <c r="A100" s="20"/>
    </row>
    <row r="101" spans="1:1" ht="16">
      <c r="A101" s="16"/>
    </row>
    <row r="102" spans="1:1" ht="16">
      <c r="A102" s="17"/>
    </row>
    <row r="103" spans="1:1" ht="16">
      <c r="A103" s="18"/>
    </row>
    <row r="104" spans="1:1" ht="16">
      <c r="A104" s="19"/>
    </row>
    <row r="105" spans="1:1">
      <c r="A105" s="20"/>
    </row>
    <row r="106" spans="1:1" ht="16">
      <c r="A106" s="16"/>
    </row>
    <row r="107" spans="1:1" ht="16">
      <c r="A107" s="17"/>
    </row>
    <row r="108" spans="1:1" ht="16">
      <c r="A108" s="18"/>
    </row>
    <row r="109" spans="1:1" ht="16">
      <c r="A109" s="19"/>
    </row>
    <row r="110" spans="1:1">
      <c r="A110" s="20"/>
    </row>
    <row r="111" spans="1:1" ht="16">
      <c r="A111" s="16"/>
    </row>
    <row r="112" spans="1:1" ht="16">
      <c r="A112" s="17"/>
    </row>
    <row r="113" spans="1:1" ht="16">
      <c r="A113" s="18"/>
    </row>
    <row r="114" spans="1:1" ht="16">
      <c r="A11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F796-9997-4BCE-84E2-B220E2EAA20F}">
  <dimension ref="A1:E979"/>
  <sheetViews>
    <sheetView topLeftCell="A136" zoomScale="251" workbookViewId="0">
      <selection activeCell="C137" sqref="C137:E196"/>
    </sheetView>
  </sheetViews>
  <sheetFormatPr baseColWidth="10" defaultColWidth="8.83203125" defaultRowHeight="15"/>
  <cols>
    <col min="1" max="1" width="73.1640625" bestFit="1" customWidth="1"/>
    <col min="3" max="3" width="39.5" bestFit="1" customWidth="1"/>
    <col min="4" max="4" width="41.83203125" bestFit="1" customWidth="1"/>
    <col min="5" max="5" width="111.1640625" bestFit="1" customWidth="1"/>
  </cols>
  <sheetData>
    <row r="1" spans="1:5" ht="16">
      <c r="A1" t="s">
        <v>239</v>
      </c>
      <c r="C1" s="6" t="str">
        <f>INDEX($A:$A, 1)</f>
        <v>ੴ ਸਤਿ ਨਾਮੁ ਕਰਤਾ ਪੁਰਖੁ ਨਿਰਭਉ ਨਿਰਵੈਰੁ ਅਕਾਲ ਮੂਰਤਿ ਅਜੂਨੀ ਸੈਭੰ ਗੁਰ ਪ੍ਰਸਾਦਿ ॥</v>
      </c>
      <c r="D1" s="6" t="str">
        <f>INDEX($A:$A, 2)</f>
        <v>ੴ सति नामु करता पुरखु निरभउ निरवैरु अकाल मूरति अजूनी सैभं गुर प्रसादि ॥</v>
      </c>
      <c r="E1" s="6" t="str">
        <f>INDEX($A:$A, 4)</f>
        <v>One Universal Creator God. The Name Is Truth. Creative Being Personified. No Fear. No Hatred. Image Of The Undying, Beyond Birth, Self-Existent. By Guru's Grace ~</v>
      </c>
    </row>
    <row r="2" spans="1:5" ht="16">
      <c r="A2" t="s">
        <v>240</v>
      </c>
      <c r="C2" s="6" t="str">
        <f>INDEX($A:$A, 6)</f>
        <v>॥ ਜਪੁ ॥</v>
      </c>
      <c r="D2" s="6" t="str">
        <f>INDEX($A:$A, 7)</f>
        <v>जपु ॥</v>
      </c>
      <c r="E2" s="6" t="str">
        <f>INDEX($A:$A, 9)</f>
        <v>Chant And Meditate:</v>
      </c>
    </row>
    <row r="3" spans="1:5" ht="16">
      <c r="A3" t="s">
        <v>241</v>
      </c>
      <c r="C3" s="6" t="str" cm="1">
        <f t="array" ref="C3">INDEX($A:$A, 1 + 5*(ROW()-1))</f>
        <v>ਆਦਿ ਸਚੁ ਜੁਗਾਦਿ ਸਚੁ ॥</v>
      </c>
      <c r="D3" s="6" t="str" cm="1">
        <f t="array" ref="D3">INDEX($A:$A, 2 + 5*(ROW()-1))</f>
        <v>आदि सचु जुगादि सचु ॥</v>
      </c>
      <c r="E3" s="6" t="str" cm="1">
        <f t="array" ref="E3">INDEX($A:$A, 4 + 5*(ROW()-1))</f>
        <v>True In The Primal Beginning. True Throughout The Ages.</v>
      </c>
    </row>
    <row r="4" spans="1:5" ht="16">
      <c r="A4" t="s">
        <v>242</v>
      </c>
      <c r="C4" s="6" t="str" cm="1">
        <f t="array" ref="C4">INDEX($A:$A, 1 + 5*(ROW()-1))</f>
        <v>ਹੈ ਭੀ ਸਚੁ ਨਾਨਕ ਹੋਸੀ ਭੀ ਸਚੁ ॥੧॥</v>
      </c>
      <c r="D4" s="6" t="str" cm="1">
        <f t="array" ref="D4">INDEX($A:$A, 2 + 5*(ROW()-1))</f>
        <v>है भी सचु नानक होसी भी सचु ॥१॥</v>
      </c>
      <c r="E4" s="6" t="str" cm="1">
        <f t="array" ref="E4">INDEX($A:$A, 4 + 5*(ROW()-1))</f>
        <v>True Here And Now. O Nanak, Forever And Ever True. ||1||</v>
      </c>
    </row>
    <row r="5" spans="1:5" ht="16">
      <c r="C5" s="6" t="str" cm="1">
        <f t="array" ref="C5">INDEX($A:$A, 1 + 5*(ROW()-1))</f>
        <v>ਸੋਚੈ ਸੋਚਿ ਨ ਹੋਵਈ ਜੇ ਸੋਚੀ ਲਖ ਵਾਰ ॥</v>
      </c>
      <c r="D5" s="6" t="str" cm="1">
        <f t="array" ref="D5">INDEX($A:$A, 2 + 5*(ROW()-1))</f>
        <v>सोचै सोचि न होवई जे सोची लख वार ॥</v>
      </c>
      <c r="E5" s="6" t="str" cm="1">
        <f t="array" ref="E5">INDEX($A:$A, 4 + 5*(ROW()-1))</f>
        <v>By thinking, He cannot be reduced to thought, even by thinking hundreds of thousands of times.</v>
      </c>
    </row>
    <row r="6" spans="1:5" ht="16">
      <c r="A6" t="s">
        <v>243</v>
      </c>
      <c r="C6" s="6" t="str" cm="1">
        <f t="array" ref="C6">INDEX($A:$A, 1 + 5*(ROW()-1))</f>
        <v>ਚੁਪੈ ਚੁਪ ਨ ਹੋਵਈ ਜੇ ਲਾਇ ਰਹਾ ਲਿਵ ਤਾਰ ॥</v>
      </c>
      <c r="D6" s="6" t="str" cm="1">
        <f t="array" ref="D6">INDEX($A:$A, 2 + 5*(ROW()-1))</f>
        <v>चुपै चुप न होवई जे लाइ रहा लिव तार ॥</v>
      </c>
      <c r="E6" s="6" t="str" cm="1">
        <f t="array" ref="E6">INDEX($A:$A, 4 + 5*(ROW()-1))</f>
        <v>By remaining silent, inner silence is not obtained, even by remaining lovingly absorbed deep within.</v>
      </c>
    </row>
    <row r="7" spans="1:5" ht="16">
      <c r="A7" t="s">
        <v>244</v>
      </c>
      <c r="C7" s="6" t="str" cm="1">
        <f t="array" ref="C7">INDEX($A:$A, 1 + 5*(ROW()-1))</f>
        <v>ਭੁਖਿਆ ਭੁਖ ਨ ਉਤਰੀ ਜੇ ਬੰਨਾ ਪੁਰੀਆ ਭਾਰ ॥</v>
      </c>
      <c r="D7" s="6" t="str" cm="1">
        <f t="array" ref="D7">INDEX($A:$A, 2 + 5*(ROW()-1))</f>
        <v>भुखिआ भुख न उतरी जे बंना पुरीआ भार ॥</v>
      </c>
      <c r="E7" s="6" t="str" cm="1">
        <f t="array" ref="E7">INDEX($A:$A, 4 + 5*(ROW()-1))</f>
        <v>The hunger of the hungry is not appeased, even by piling up loads of worldly goods.</v>
      </c>
    </row>
    <row r="8" spans="1:5" ht="16">
      <c r="A8" t="s">
        <v>245</v>
      </c>
      <c r="C8" s="6" t="str" cm="1">
        <f t="array" ref="C8">INDEX($A:$A, 1 + 5*(ROW()-1))</f>
        <v>ਸਹਸ ਸਿਆਣਪਾ ਲਖ ਹੋਹਿ ਤ ਇਕ ਨ ਚਲੈ ਨਾਲਿ ॥</v>
      </c>
      <c r="D8" s="6" t="str" cm="1">
        <f t="array" ref="D8">INDEX($A:$A, 2 + 5*(ROW()-1))</f>
        <v>सहस सिआणपा लख होहि त इक न चलै नालि ॥</v>
      </c>
      <c r="E8" s="6" t="str" cm="1">
        <f t="array" ref="E8">INDEX($A:$A, 4 + 5*(ROW()-1))</f>
        <v>Hundreds of thousands of clever tricks, but not even one of them will go along with you in the end.</v>
      </c>
    </row>
    <row r="9" spans="1:5" ht="16">
      <c r="A9" t="s">
        <v>246</v>
      </c>
      <c r="C9" s="6" t="str" cm="1">
        <f t="array" ref="C9">INDEX($A:$A, 1 + 5*(ROW()-1))</f>
        <v>ਕਿਵ ਸਚਿਆਰਾ ਹੋਈਐ ਕਿਵ ਕੂੜੈ ਤੁਟੈ ਪਾਲਿ ॥</v>
      </c>
      <c r="D9" s="6" t="str" cm="1">
        <f t="array" ref="D9">INDEX($A:$A, 2 + 5*(ROW()-1))</f>
        <v>किव सचिआरा होईऐ किव कूड़ै तुटै पालि ॥</v>
      </c>
      <c r="E9" s="6" t="str" cm="1">
        <f t="array" ref="E9">INDEX($A:$A, 4 + 5*(ROW()-1))</f>
        <v>So how can you become truthful? And how can the veil of illusion be torn away?</v>
      </c>
    </row>
    <row r="10" spans="1:5" ht="16">
      <c r="C10" s="6" t="str" cm="1">
        <f t="array" ref="C10">INDEX($A:$A, 1 + 5*(ROW()-1))</f>
        <v>ਹੁਕਮਿ ਰਜਾਈ ਚਲਣਾ ਨਾਨਕ ਲਿਖਿਆ ਨਾਲਿ ॥੧॥</v>
      </c>
      <c r="D10" s="6" t="str" cm="1">
        <f t="array" ref="D10">INDEX($A:$A, 2 + 5*(ROW()-1))</f>
        <v>हुकमि रजाई चलणा नानक लिखिआ नालि ॥१॥</v>
      </c>
      <c r="E10" s="6" t="str" cm="1">
        <f t="array" ref="E10">INDEX($A:$A, 4 + 5*(ROW()-1))</f>
        <v>O Nanak, it is written that you shall obey the Hukam of His Command, and walk in the Way of His Will. ||1||</v>
      </c>
    </row>
    <row r="11" spans="1:5" ht="16">
      <c r="A11" t="s">
        <v>247</v>
      </c>
      <c r="C11" s="6" t="str" cm="1">
        <f t="array" ref="C11">INDEX($A:$A, 1 + 5*(ROW()-1))</f>
        <v>ਹੁਕਮੀ ਹੋਵਨਿ ਆਕਾਰ ਹੁਕਮੁ ਨ ਕਹਿਆ ਜਾਈ ॥</v>
      </c>
      <c r="D11" s="6" t="str" cm="1">
        <f t="array" ref="D11">INDEX($A:$A, 2 + 5*(ROW()-1))</f>
        <v>हुकमी होवनि आकार हुकमु न कहिआ जाई ॥</v>
      </c>
      <c r="E11" s="6" t="str" cm="1">
        <f t="array" ref="E11">INDEX($A:$A, 4 + 5*(ROW()-1))</f>
        <v>By His Command, bodies are created; His Command cannot be described.</v>
      </c>
    </row>
    <row r="12" spans="1:5" ht="16">
      <c r="A12" t="s">
        <v>248</v>
      </c>
      <c r="C12" s="6" t="str" cm="1">
        <f t="array" ref="C12">INDEX($A:$A, 1 + 5*(ROW()-1))</f>
        <v>ਹੁਕਮੀ ਹੋਵਨਿ ਜੀਅ ਹੁਕਮਿ ਮਿਲੈ ਵਡਿਆਈ ॥</v>
      </c>
      <c r="D12" s="6" t="str" cm="1">
        <f t="array" ref="D12">INDEX($A:$A, 2 + 5*(ROW()-1))</f>
        <v>हुकमी होवनि जीअ हुकमि मिलै वडिआई ॥</v>
      </c>
      <c r="E12" s="6" t="str" cm="1">
        <f t="array" ref="E12">INDEX($A:$A, 4 + 5*(ROW()-1))</f>
        <v>By His Command, souls come into being; by His Command, glory and greatness are obtained.</v>
      </c>
    </row>
    <row r="13" spans="1:5" ht="16">
      <c r="A13" t="s">
        <v>249</v>
      </c>
      <c r="C13" s="6" t="str" cm="1">
        <f t="array" ref="C13">INDEX($A:$A, 1 + 5*(ROW()-1))</f>
        <v>ਹੁਕਮੀ ਉਤਮੁ ਨੀਚੁ ਹੁਕਮਿ ਲਿਖਿ ਦੁਖ ਸੁਖ ਪਾਈਅਹਿ ॥</v>
      </c>
      <c r="D13" s="6" t="str" cm="1">
        <f t="array" ref="D13">INDEX($A:$A, 2 + 5*(ROW()-1))</f>
        <v>हुकमी उतमु नीचु हुकमि लिखि दुख सुख पाईअहि ॥</v>
      </c>
      <c r="E13" s="6" t="str" cm="1">
        <f t="array" ref="E13">INDEX($A:$A, 4 + 5*(ROW()-1))</f>
        <v>By His Command, some are high and some are low; by His Written Command, pain and pleasure are obtained.</v>
      </c>
    </row>
    <row r="14" spans="1:5" ht="16">
      <c r="A14" t="s">
        <v>250</v>
      </c>
      <c r="C14" s="6" t="str" cm="1">
        <f t="array" ref="C14">INDEX($A:$A, 1 + 5*(ROW()-1))</f>
        <v>ਇਕਨਾ ਹੁਕਮੀ ਬਖਸੀਸ ਇਕਿ ਹੁਕਮੀ ਸਦਾ ਭਵਾਈਅਹਿ ॥</v>
      </c>
      <c r="D14" s="6" t="str" cm="1">
        <f t="array" ref="D14">INDEX($A:$A, 2 + 5*(ROW()-1))</f>
        <v>इकना हुकमी बखसीस इकि हुकमी सदा भवाईअहि ॥</v>
      </c>
      <c r="E14" s="6" t="str" cm="1">
        <f t="array" ref="E14">INDEX($A:$A, 4 + 5*(ROW()-1))</f>
        <v>Some, by His Command, are blessed and forgiven; others, by His Command, wander aimlessly forever.</v>
      </c>
    </row>
    <row r="15" spans="1:5" ht="16">
      <c r="C15" s="6" t="str" cm="1">
        <f t="array" ref="C15">INDEX($A:$A, 1 + 5*(ROW()-1))</f>
        <v>ਹੁਕਮੈ ਅੰਦਰਿ ਸਭੁ ਕੋ ਬਾਹਰਿ ਹੁਕਮ ਨ ਕੋਇ ॥</v>
      </c>
      <c r="D15" s="6" t="str" cm="1">
        <f t="array" ref="D15">INDEX($A:$A, 2 + 5*(ROW()-1))</f>
        <v>हुकमै अंदरि सभु को बाहरि हुकम न कोइ ॥</v>
      </c>
      <c r="E15" s="6" t="str" cm="1">
        <f t="array" ref="E15">INDEX($A:$A, 4 + 5*(ROW()-1))</f>
        <v>Everyone is subject to His Command; no one is beyond His Command.</v>
      </c>
    </row>
    <row r="16" spans="1:5" ht="16">
      <c r="A16" t="s">
        <v>251</v>
      </c>
      <c r="C16" s="6" t="str" cm="1">
        <f t="array" ref="C16">INDEX($A:$A, 1 + 5*(ROW()-1))</f>
        <v>ਨਾਨਕ ਹੁਕਮੈ ਜੇ ਬੁਝੈ ਤ ਹਉਮੈ ਕਹੈ ਨ ਕੋਇ ॥੨॥</v>
      </c>
      <c r="D16" s="6" t="str" cm="1">
        <f t="array" ref="D16">INDEX($A:$A, 2 + 5*(ROW()-1))</f>
        <v>नानक हुकमै जे बुझै त हउमै कहै न कोइ ॥२॥</v>
      </c>
      <c r="E16" s="6" t="str" cm="1">
        <f t="array" ref="E16">INDEX($A:$A, 4 + 5*(ROW()-1))</f>
        <v>O Nanak, one who understands His Command, does not speak in ego. ||2||</v>
      </c>
    </row>
    <row r="17" spans="1:5" ht="16">
      <c r="A17" t="s">
        <v>252</v>
      </c>
      <c r="C17" s="6" t="str" cm="1">
        <f t="array" ref="C17">INDEX($A:$A, 1 + 5*(ROW()-1))</f>
        <v>ਗਾਵੈ ਕੋ ਤਾਣੁ ਹੋਵੈ ਕਿਸੈ ਤਾਣੁ ॥</v>
      </c>
      <c r="D17" s="6" t="str" cm="1">
        <f t="array" ref="D17">INDEX($A:$A, 2 + 5*(ROW()-1))</f>
        <v>गावै को ताणु होवै किसै ताणु ॥</v>
      </c>
      <c r="E17" s="6" t="str" cm="1">
        <f t="array" ref="E17">INDEX($A:$A, 4 + 5*(ROW()-1))</f>
        <v>Some sing of His Power-who has that Power?</v>
      </c>
    </row>
    <row r="18" spans="1:5" ht="16">
      <c r="A18" t="s">
        <v>253</v>
      </c>
      <c r="C18" s="6" t="str" cm="1">
        <f t="array" ref="C18">INDEX($A:$A, 1 + 5*(ROW()-1))</f>
        <v>ਗਾਵੈ ਕੋ ਦਾਤਿ ਜਾਣੈ ਨੀਸਾਣੁ ॥</v>
      </c>
      <c r="D18" s="6" t="str" cm="1">
        <f t="array" ref="D18">INDEX($A:$A, 2 + 5*(ROW()-1))</f>
        <v>गावै को दाति जाणै नीसाणु ॥</v>
      </c>
      <c r="E18" s="6" t="str" cm="1">
        <f t="array" ref="E18">INDEX($A:$A, 4 + 5*(ROW()-1))</f>
        <v>Some sing of His Gifts, and know His Sign and Insignia.</v>
      </c>
    </row>
    <row r="19" spans="1:5" ht="16">
      <c r="A19" t="s">
        <v>254</v>
      </c>
      <c r="C19" s="6" t="str" cm="1">
        <f t="array" ref="C19">INDEX($A:$A, 1 + 5*(ROW()-1))</f>
        <v>ਗਾਵੈ ਕੋ ਗੁਣ ਵਡਿਆਈਆ ਚਾਰ ॥</v>
      </c>
      <c r="D19" s="6" t="str" cm="1">
        <f t="array" ref="D19">INDEX($A:$A, 2 + 5*(ROW()-1))</f>
        <v>गावै को गुण वडिआईआ चार ॥</v>
      </c>
      <c r="E19" s="6" t="str" cm="1">
        <f t="array" ref="E19">INDEX($A:$A, 4 + 5*(ROW()-1))</f>
        <v>Some sing of His Glorious Virtues, Greatness and Beauty.</v>
      </c>
    </row>
    <row r="20" spans="1:5" ht="16">
      <c r="C20" s="6" t="str" cm="1">
        <f t="array" ref="C20">INDEX($A:$A, 1 + 5*(ROW()-1))</f>
        <v>ਗਾਵੈ ਕੋ ਵਿਦਿਆ ਵਿਖਮੁ ਵੀਚਾਰੁ ॥</v>
      </c>
      <c r="D20" s="6" t="str" cm="1">
        <f t="array" ref="D20">INDEX($A:$A, 2 + 5*(ROW()-1))</f>
        <v>गावै को विदिआ विखमु वीचारु ॥</v>
      </c>
      <c r="E20" s="6" t="str" cm="1">
        <f t="array" ref="E20">INDEX($A:$A, 4 + 5*(ROW()-1))</f>
        <v>Some sing of knowledge obtained of Him, through difficult philosophical studies.</v>
      </c>
    </row>
    <row r="21" spans="1:5" ht="16">
      <c r="A21" t="s">
        <v>255</v>
      </c>
      <c r="C21" s="6" t="str" cm="1">
        <f t="array" ref="C21">INDEX($A:$A, 1 + 5*(ROW()-1))</f>
        <v>ਗਾਵੈ ਕੋ ਸਾਜਿ ਕਰੇ ਤਨੁ ਖੇਹ ॥</v>
      </c>
      <c r="D21" s="6" t="str" cm="1">
        <f t="array" ref="D21">INDEX($A:$A, 2 + 5*(ROW()-1))</f>
        <v>गावै को साजि करे तनु खेह ॥</v>
      </c>
      <c r="E21" s="6" t="str" cm="1">
        <f t="array" ref="E21">INDEX($A:$A, 4 + 5*(ROW()-1))</f>
        <v>Some sing that He fashions the body, and then again reduces it to dust.</v>
      </c>
    </row>
    <row r="22" spans="1:5" ht="16">
      <c r="A22" t="s">
        <v>256</v>
      </c>
      <c r="C22" s="6" t="str" cm="1">
        <f t="array" ref="C22">INDEX($A:$A, 1 + 5*(ROW()-1))</f>
        <v>ਗਾਵੈ ਕੋ ਜੀਅ ਲੈ ਫਿਰਿ ਦੇਹ ॥</v>
      </c>
      <c r="D22" s="6" t="str" cm="1">
        <f t="array" ref="D22">INDEX($A:$A, 2 + 5*(ROW()-1))</f>
        <v>गावै को जीअ लै फिरि देह ॥</v>
      </c>
      <c r="E22" s="6" t="str" cm="1">
        <f t="array" ref="E22">INDEX($A:$A, 4 + 5*(ROW()-1))</f>
        <v>Some sing that He takes life away, and then again restores it.</v>
      </c>
    </row>
    <row r="23" spans="1:5" ht="16">
      <c r="A23" t="s">
        <v>257</v>
      </c>
      <c r="C23" s="6" t="str" cm="1">
        <f t="array" ref="C23">INDEX($A:$A, 1 + 5*(ROW()-1))</f>
        <v>ਗਾਵੈ ਕੋ ਜਾਪੈ ਦਿਸੈ ਦੂਰਿ ॥</v>
      </c>
      <c r="D23" s="6" t="str" cm="1">
        <f t="array" ref="D23">INDEX($A:$A, 2 + 5*(ROW()-1))</f>
        <v>गावै को जापै दिसै दूरि ॥</v>
      </c>
      <c r="E23" s="6" t="str" cm="1">
        <f t="array" ref="E23">INDEX($A:$A, 4 + 5*(ROW()-1))</f>
        <v>Some sing that He seems so very far away.</v>
      </c>
    </row>
    <row r="24" spans="1:5" ht="16">
      <c r="A24" t="s">
        <v>258</v>
      </c>
      <c r="C24" s="6" t="str" cm="1">
        <f t="array" ref="C24">INDEX($A:$A, 1 + 5*(ROW()-1))</f>
        <v>ਗਾਵੈ ਕੋ ਵੇਖੈ ਹਾਦਰਾ ਹਦੂਰਿ ॥</v>
      </c>
      <c r="D24" s="6" t="str" cm="1">
        <f t="array" ref="D24">INDEX($A:$A, 2 + 5*(ROW()-1))</f>
        <v>गावै को वेखै हादरा हदूरि ॥</v>
      </c>
      <c r="E24" s="6" t="str" cm="1">
        <f t="array" ref="E24">INDEX($A:$A, 4 + 5*(ROW()-1))</f>
        <v>Some sing that He watches over us, face to face, ever-present.</v>
      </c>
    </row>
    <row r="25" spans="1:5" ht="16">
      <c r="C25" s="6" t="str" cm="1">
        <f t="array" ref="C25">INDEX($A:$A, 1 + 5*(ROW()-1))</f>
        <v>ਕਥਨਾ ਕਥੀ ਨ ਆਵੈ ਤੋਟਿ ॥</v>
      </c>
      <c r="D25" s="6" t="str" cm="1">
        <f t="array" ref="D25">INDEX($A:$A, 2 + 5*(ROW()-1))</f>
        <v>कथना कथी न आवै तोटि ॥</v>
      </c>
      <c r="E25" s="6" t="str" cm="1">
        <f t="array" ref="E25">INDEX($A:$A, 4 + 5*(ROW()-1))</f>
        <v>There is no shortage of those who preach and teach.</v>
      </c>
    </row>
    <row r="26" spans="1:5" ht="16">
      <c r="A26" t="s">
        <v>259</v>
      </c>
      <c r="C26" s="6" t="str" cm="1">
        <f t="array" ref="C26">INDEX($A:$A, 1 + 5*(ROW()-1))</f>
        <v>ਕਥਿ ਕਥਿ ਕਥੀ ਕੋਟੀ ਕੋਟਿ ਕੋਟਿ ॥</v>
      </c>
      <c r="D26" s="6" t="str" cm="1">
        <f t="array" ref="D26">INDEX($A:$A, 2 + 5*(ROW()-1))</f>
        <v>कथि कथि कथी कोटी कोटि कोटि ॥</v>
      </c>
      <c r="E26" s="6" t="str" cm="1">
        <f t="array" ref="E26">INDEX($A:$A, 4 + 5*(ROW()-1))</f>
        <v>Millions upon millions offer millions of sermons and stories.</v>
      </c>
    </row>
    <row r="27" spans="1:5" ht="16">
      <c r="A27" t="s">
        <v>260</v>
      </c>
      <c r="C27" s="6" t="str" cm="1">
        <f t="array" ref="C27">INDEX($A:$A, 1 + 5*(ROW()-1))</f>
        <v>ਦੇਦਾ ਦੇ ਲੈਦੇ ਥਕਿ ਪਾਹਿ ॥</v>
      </c>
      <c r="D27" s="6" t="str" cm="1">
        <f t="array" ref="D27">INDEX($A:$A, 2 + 5*(ROW()-1))</f>
        <v>देदा दे लैदे थकि पाहि ॥</v>
      </c>
      <c r="E27" s="6" t="str" cm="1">
        <f t="array" ref="E27">INDEX($A:$A, 4 + 5*(ROW()-1))</f>
        <v>The Great Giver keeps on giving, while those who receive grow weary of receiving.</v>
      </c>
    </row>
    <row r="28" spans="1:5" ht="16">
      <c r="A28" t="s">
        <v>261</v>
      </c>
      <c r="C28" s="6" t="str" cm="1">
        <f t="array" ref="C28">INDEX($A:$A, 1 + 5*(ROW()-1))</f>
        <v>ਜੁਗਾ ਜੁਗੰਤਰਿ ਖਾਹੀ ਖਾਹਿ ॥</v>
      </c>
      <c r="D28" s="6" t="str" cm="1">
        <f t="array" ref="D28">INDEX($A:$A, 2 + 5*(ROW()-1))</f>
        <v>जुगा जुगंतरि खाही खाहि ॥</v>
      </c>
      <c r="E28" s="6" t="str" cm="1">
        <f t="array" ref="E28">INDEX($A:$A, 4 + 5*(ROW()-1))</f>
        <v>Throughout the ages, consumers consume.</v>
      </c>
    </row>
    <row r="29" spans="1:5" ht="16">
      <c r="A29" t="s">
        <v>262</v>
      </c>
      <c r="C29" s="6" t="str" cm="1">
        <f t="array" ref="C29">INDEX($A:$A, 1 + 5*(ROW()-1))</f>
        <v>ਹੁਕਮੀ ਹੁਕਮੁ ਚਲਾਏ ਰਾਹੁ ॥</v>
      </c>
      <c r="D29" s="6" t="str" cm="1">
        <f t="array" ref="D29">INDEX($A:$A, 2 + 5*(ROW()-1))</f>
        <v>हुकमी हुकमु चलाए राहु ॥</v>
      </c>
      <c r="E29" s="6" t="str" cm="1">
        <f t="array" ref="E29">INDEX($A:$A, 4 + 5*(ROW()-1))</f>
        <v>The Commander, by His Command, leads us to walk on the Path.</v>
      </c>
    </row>
    <row r="30" spans="1:5" ht="16">
      <c r="C30" s="6" t="str" cm="1">
        <f t="array" ref="C30">INDEX($A:$A, 1 + 5*(ROW()-1))</f>
        <v>ਨਾਨਕ ਵਿਗਸੈ ਵੇਪਰਵਾਹੁ ॥੩॥</v>
      </c>
      <c r="D30" s="6" t="str" cm="1">
        <f t="array" ref="D30">INDEX($A:$A, 2 + 5*(ROW()-1))</f>
        <v>नानक विगसै वेपरवाहु ॥३॥</v>
      </c>
      <c r="E30" s="6" t="str" cm="1">
        <f t="array" ref="E30">INDEX($A:$A, 4 + 5*(ROW()-1))</f>
        <v>O Nanak, He blossoms forth, Carefree and Untroubled. ||3||</v>
      </c>
    </row>
    <row r="31" spans="1:5" ht="16">
      <c r="A31" t="s">
        <v>263</v>
      </c>
      <c r="C31" s="6" t="str" cm="1">
        <f t="array" ref="C31">INDEX($A:$A, 1 + 5*(ROW()-1))</f>
        <v>ਸਾਚਾ ਸਾਹਿਬੁ ਸਾਚੁ ਨਾਇ ਭਾਖਿਆ ਭਾਉ ਅਪਾਰੁ ॥</v>
      </c>
      <c r="D31" s="6" t="str" cm="1">
        <f t="array" ref="D31">INDEX($A:$A, 2 + 5*(ROW()-1))</f>
        <v>साचा साहिबु साचु नाइ भाखिआ भाउ अपारु ॥</v>
      </c>
      <c r="E31" s="6" t="str" cm="1">
        <f t="array" ref="E31">INDEX($A:$A, 4 + 5*(ROW()-1))</f>
        <v>True is the Master, True is His Name-speak it with infinite love.</v>
      </c>
    </row>
    <row r="32" spans="1:5" ht="16">
      <c r="A32" t="s">
        <v>264</v>
      </c>
      <c r="C32" s="6" t="str" cm="1">
        <f t="array" ref="C32">INDEX($A:$A, 1 + 5*(ROW()-1))</f>
        <v>ਆਖਹਿ ਮੰਗਹਿ ਦੇਹਿ ਦੇਹਿ ਦਾਤਿ ਕਰੇ ਦਾਤਾਰੁ ॥</v>
      </c>
      <c r="D32" s="6" t="str" cm="1">
        <f t="array" ref="D32">INDEX($A:$A, 2 + 5*(ROW()-1))</f>
        <v>आखहि मंगहि देहि देहि दाति करे दातारु ॥</v>
      </c>
      <c r="E32" s="6" t="str" cm="1">
        <f t="array" ref="E32">INDEX($A:$A, 4 + 5*(ROW()-1))</f>
        <v>People beg and pray, "Give to us, give to us", and the Great Giver gives His Gifts.</v>
      </c>
    </row>
    <row r="33" spans="1:5" ht="16">
      <c r="A33" t="s">
        <v>265</v>
      </c>
      <c r="C33" s="6" t="str" cm="1">
        <f t="array" ref="C33">INDEX($A:$A, 1 + 5*(ROW()-1))</f>
        <v>ਫੇਰਿ ਕਿ ਅਗੈ ਰਖੀਐ ਜਿਤੁ ਦਿਸੈ ਦਰਬਾਰੁ ॥</v>
      </c>
      <c r="D33" s="6" t="str" cm="1">
        <f t="array" ref="D33">INDEX($A:$A, 2 + 5*(ROW()-1))</f>
        <v>फेरि कि अगै रखीऐ जितु दिसै दरबारु ॥</v>
      </c>
      <c r="E33" s="6" t="str" cm="1">
        <f t="array" ref="E33">INDEX($A:$A, 4 + 5*(ROW()-1))</f>
        <v>So what offering can we place before Him, by which we might see the Darbaar of His Court?</v>
      </c>
    </row>
    <row r="34" spans="1:5" ht="16">
      <c r="A34" t="s">
        <v>266</v>
      </c>
      <c r="C34" s="6" t="str" cm="1">
        <f t="array" ref="C34">INDEX($A:$A, 1 + 5*(ROW()-1))</f>
        <v>ਮੁਹੌ ਕਿ ਬੋਲਣੁ ਬੋਲੀਐ ਜਿਤੁ ਸੁਣਿ ਧਰੇ ਪਿਆਰੁ ॥</v>
      </c>
      <c r="D34" s="6" t="str" cm="1">
        <f t="array" ref="D34">INDEX($A:$A, 2 + 5*(ROW()-1))</f>
        <v>मुहौ कि बोलणु बोलीऐ जितु सुणि धरे पिआरु ॥</v>
      </c>
      <c r="E34" s="6" t="str" cm="1">
        <f t="array" ref="E34">INDEX($A:$A, 4 + 5*(ROW()-1))</f>
        <v>What words can we speak to evoke His Love?</v>
      </c>
    </row>
    <row r="35" spans="1:5" ht="16">
      <c r="C35" s="6" t="str" cm="1">
        <f t="array" ref="C35">INDEX($A:$A, 1 + 5*(ROW()-1))</f>
        <v>ਅੰਮ੍ਰਿਤ ਵੇਲਾ ਸਚੁ ਨਾਉ ਵਡਿਆਈ ਵੀਚਾਰੁ ॥</v>
      </c>
      <c r="D35" s="6" t="str" cm="1">
        <f t="array" ref="D35">INDEX($A:$A, 2 + 5*(ROW()-1))</f>
        <v>अम्रित वेला सचु नाउ वडिआई वीचारु ॥</v>
      </c>
      <c r="E35" s="6" t="str" cm="1">
        <f t="array" ref="E35">INDEX($A:$A, 4 + 5*(ROW()-1))</f>
        <v>In the Amrit Vaylaa, the ambrosial hours before dawn, chant the True Name, and contemplate His Glorious Greatness.</v>
      </c>
    </row>
    <row r="36" spans="1:5" ht="16">
      <c r="A36" t="s">
        <v>267</v>
      </c>
      <c r="C36" s="6" t="str" cm="1">
        <f t="array" ref="C36">INDEX($A:$A, 1 + 5*(ROW()-1))</f>
        <v>ਕਰਮੀ ਆਵੈ ਕਪੜਾ ਨਦਰੀ ਮੋਖੁ ਦੁਆਰੁ ॥</v>
      </c>
      <c r="D36" s="6" t="str" cm="1">
        <f t="array" ref="D36">INDEX($A:$A, 2 + 5*(ROW()-1))</f>
        <v>करमी आवै कपड़ा नदरी मोखु दुआरु ॥</v>
      </c>
      <c r="E36" s="6" t="str" cm="1">
        <f t="array" ref="E36">INDEX($A:$A, 4 + 5*(ROW()-1))</f>
        <v>By the karma of past actions, the robe of this physical body is obtained. By His Grace, the Gate of Liberation is found.</v>
      </c>
    </row>
    <row r="37" spans="1:5" ht="16">
      <c r="A37" t="s">
        <v>268</v>
      </c>
      <c r="C37" s="6" t="str" cm="1">
        <f t="array" ref="C37">INDEX($A:$A, 1 + 5*(ROW()-1))</f>
        <v>ਨਾਨਕ ਏਵੈ ਜਾਣੀਐ ਸਭੁ ਆਪੇ ਸਚਿਆਰੁ ॥੪॥</v>
      </c>
      <c r="D37" s="6" t="str" cm="1">
        <f t="array" ref="D37">INDEX($A:$A, 2 + 5*(ROW()-1))</f>
        <v>नानक एवै जाणीऐ सभु आपे सचिआरु ॥४॥</v>
      </c>
      <c r="E37" s="6" t="str" cm="1">
        <f t="array" ref="E37">INDEX($A:$A, 4 + 5*(ROW()-1))</f>
        <v>O Nanak, know this well: the True One Himself is All. ||4||</v>
      </c>
    </row>
    <row r="38" spans="1:5" ht="16">
      <c r="A38" t="s">
        <v>269</v>
      </c>
      <c r="C38" s="6" t="str" cm="1">
        <f t="array" ref="C38">INDEX($A:$A, 1 + 5*(ROW()-1))</f>
        <v>ਥਾਪਿਆ ਨ ਜਾਇ ਕੀਤਾ ਨ ਹੋਇ ॥</v>
      </c>
      <c r="D38" s="6" t="str" cm="1">
        <f t="array" ref="D38">INDEX($A:$A, 2 + 5*(ROW()-1))</f>
        <v>थापिआ न जाइ कीता न होइ ॥</v>
      </c>
      <c r="E38" s="6" t="str" cm="1">
        <f t="array" ref="E38">INDEX($A:$A, 4 + 5*(ROW()-1))</f>
        <v>He cannot be established, He cannot be created.</v>
      </c>
    </row>
    <row r="39" spans="1:5" ht="16">
      <c r="A39" t="s">
        <v>270</v>
      </c>
      <c r="C39" s="6" t="str" cm="1">
        <f t="array" ref="C39">INDEX($A:$A, 1 + 5*(ROW()-1))</f>
        <v>ਆਪੇ ਆਪਿ ਨਿਰੰਜਨੁ ਸੋਇ ॥</v>
      </c>
      <c r="D39" s="6" t="str" cm="1">
        <f t="array" ref="D39">INDEX($A:$A, 2 + 5*(ROW()-1))</f>
        <v>आपे आपि निरंजनु सोइ ॥</v>
      </c>
      <c r="E39" s="6" t="str" cm="1">
        <f t="array" ref="E39">INDEX($A:$A, 4 + 5*(ROW()-1))</f>
        <v>He Himself is Immaculate and Pure.</v>
      </c>
    </row>
    <row r="40" spans="1:5" ht="16">
      <c r="C40" s="6" t="str" cm="1">
        <f t="array" ref="C40">INDEX($A:$A, 1 + 5*(ROW()-1))</f>
        <v>ਜਿਨਿ ਸੇਵਿਆ ਤਿਨਿ ਪਾਇਆ ਮਾਨੁ ॥</v>
      </c>
      <c r="D40" s="6" t="str" cm="1">
        <f t="array" ref="D40">INDEX($A:$A, 2 + 5*(ROW()-1))</f>
        <v>जिनि सेविआ तिनि पाइआ मानु ॥</v>
      </c>
      <c r="E40" s="6" t="str" cm="1">
        <f t="array" ref="E40">INDEX($A:$A, 4 + 5*(ROW()-1))</f>
        <v>Those who serve Him are honored.</v>
      </c>
    </row>
    <row r="41" spans="1:5" ht="16">
      <c r="A41" t="s">
        <v>271</v>
      </c>
      <c r="C41" s="6" t="str" cm="1">
        <f t="array" ref="C41">INDEX($A:$A, 1 + 5*(ROW()-1))</f>
        <v>ਨਾਨਕ ਗਾਵੀਐ ਗੁਣੀ ਨਿਧਾਨੁ ॥</v>
      </c>
      <c r="D41" s="6" t="str" cm="1">
        <f t="array" ref="D41">INDEX($A:$A, 2 + 5*(ROW()-1))</f>
        <v>नानक गावीऐ गुणी निधानु ॥</v>
      </c>
      <c r="E41" s="6" t="str" cm="1">
        <f t="array" ref="E41">INDEX($A:$A, 4 + 5*(ROW()-1))</f>
        <v>O Nanak, sing of the Lord, the Treasure of Excellence.</v>
      </c>
    </row>
    <row r="42" spans="1:5" ht="16">
      <c r="A42" t="s">
        <v>272</v>
      </c>
      <c r="C42" s="6" t="str" cm="1">
        <f t="array" ref="C42">INDEX($A:$A, 1 + 5*(ROW()-1))</f>
        <v>ਗਾਵੀਐ ਸੁਣੀਐ ਮਨਿ ਰਖੀਐ ਭਾਉ ॥</v>
      </c>
      <c r="D42" s="6" t="str" cm="1">
        <f t="array" ref="D42">INDEX($A:$A, 2 + 5*(ROW()-1))</f>
        <v>गावीऐ सुणीऐ मनि रखीऐ भाउ ॥</v>
      </c>
      <c r="E42" s="6" t="str" cm="1">
        <f t="array" ref="E42">INDEX($A:$A, 4 + 5*(ROW()-1))</f>
        <v>Sing, and listen, and let your mind be filled with love.</v>
      </c>
    </row>
    <row r="43" spans="1:5" ht="16">
      <c r="A43" t="s">
        <v>273</v>
      </c>
      <c r="C43" s="6" t="str" cm="1">
        <f t="array" ref="C43">INDEX($A:$A, 1 + 5*(ROW()-1))</f>
        <v>ਦੁਖੁ ਪਰਹਰਿ ਸੁਖੁ ਘਰਿ ਲੈ ਜਾਇ ॥</v>
      </c>
      <c r="D43" s="6" t="str" cm="1">
        <f t="array" ref="D43">INDEX($A:$A, 2 + 5*(ROW()-1))</f>
        <v>दुखु परहरि सुखु घरि लै जाइ ॥</v>
      </c>
      <c r="E43" s="6" t="str" cm="1">
        <f t="array" ref="E43">INDEX($A:$A, 4 + 5*(ROW()-1))</f>
        <v>Your pain shall be sent far away, and peace shall come to your home.</v>
      </c>
    </row>
    <row r="44" spans="1:5" ht="16">
      <c r="A44" t="s">
        <v>274</v>
      </c>
      <c r="C44" s="6" t="str" cm="1">
        <f t="array" ref="C44">INDEX($A:$A, 1 + 5*(ROW()-1))</f>
        <v>ਗੁਰਮੁਖਿ ਨਾਦੰ ਗੁਰਮੁਖਿ ਵੇਦੰ ਗੁਰਮੁਖਿ ਰਹਿਆ ਸਮਾਈ ॥</v>
      </c>
      <c r="D44" s="6" t="str" cm="1">
        <f t="array" ref="D44">INDEX($A:$A, 2 + 5*(ROW()-1))</f>
        <v>गुरमुखि नादं गुरमुखि वेदं गुरमुखि रहिआ समाई ॥</v>
      </c>
      <c r="E44" s="6" t="str" cm="1">
        <f t="array" ref="E44">INDEX($A:$A, 4 + 5*(ROW()-1))</f>
        <v>The Guru's Word is the Sound-current of the Naad; the Guru's Word is the Wisdom of the Vedas; the Guru's Word is all-pervading.</v>
      </c>
    </row>
    <row r="45" spans="1:5" ht="16">
      <c r="C45" s="6" t="str" cm="1">
        <f t="array" ref="C45">INDEX($A:$A, 1 + 5*(ROW()-1))</f>
        <v>ਗੁਰੁ ਈਸਰੁ ਗੁਰੁ ਗੋਰਖੁ ਬਰਮਾ ਗੁਰੁ ਪਾਰਬਤੀ ਮਾਈ ॥</v>
      </c>
      <c r="D45" s="6" t="str" cm="1">
        <f t="array" ref="D45">INDEX($A:$A, 2 + 5*(ROW()-1))</f>
        <v>गुरु ईसरु गुरु गोरखु बरमा गुरु पारबती माई ॥</v>
      </c>
      <c r="E45" s="6" t="str" cm="1">
        <f t="array" ref="E45">INDEX($A:$A, 4 + 5*(ROW()-1))</f>
        <v>The Guru is Shiva, the Guru is Vishnu and Brahma; the Guru is Paarvati and Lakhshmi.</v>
      </c>
    </row>
    <row r="46" spans="1:5" ht="16">
      <c r="A46" t="s">
        <v>275</v>
      </c>
      <c r="C46" s="6" t="str" cm="1">
        <f t="array" ref="C46">INDEX($A:$A, 1 + 5*(ROW()-1))</f>
        <v>ਜੇ ਹਉ ਜਾਣਾ ਆਖਾ ਨਾਹੀ ਕਹਣਾ ਕਥਨੁ ਨ ਜਾਈ ॥</v>
      </c>
      <c r="D46" s="6" t="str" cm="1">
        <f t="array" ref="D46">INDEX($A:$A, 2 + 5*(ROW()-1))</f>
        <v>जे हउ जाणा आखा नाही कहणा कथनु न जाई ॥</v>
      </c>
      <c r="E46" s="6" t="str" cm="1">
        <f t="array" ref="E46">INDEX($A:$A, 4 + 5*(ROW()-1))</f>
        <v>Even knowing God, I cannot describe Him; He cannot be described in words.</v>
      </c>
    </row>
    <row r="47" spans="1:5" ht="16">
      <c r="A47" t="s">
        <v>276</v>
      </c>
      <c r="C47" s="6" t="str" cm="1">
        <f t="array" ref="C47">INDEX($A:$A, 1 + 5*(ROW()-1))</f>
        <v>ਗੁਰਾ ਇਕ ਦੇਹਿ ਬੁਝਾਈ ॥</v>
      </c>
      <c r="D47" s="6" t="str" cm="1">
        <f t="array" ref="D47">INDEX($A:$A, 2 + 5*(ROW()-1))</f>
        <v>गुरा इक देहि बुझाई ॥</v>
      </c>
      <c r="E47" s="6" t="str" cm="1">
        <f t="array" ref="E47">INDEX($A:$A, 4 + 5*(ROW()-1))</f>
        <v>The Guru has given me this one understanding:</v>
      </c>
    </row>
    <row r="48" spans="1:5" ht="16">
      <c r="A48" t="s">
        <v>277</v>
      </c>
      <c r="C48" s="6" t="str" cm="1">
        <f t="array" ref="C48">INDEX($A:$A, 1 + 5*(ROW()-1))</f>
        <v>ਸਭਨਾ ਜੀਆ ਕਾ ਇਕੁ ਦਾਤਾ ਸੋ ਮੈ ਵਿਸਰਿ ਨ ਜਾਈ ॥੫॥</v>
      </c>
      <c r="D48" s="6" t="str" cm="1">
        <f t="array" ref="D48">INDEX($A:$A, 2 + 5*(ROW()-1))</f>
        <v>सभना जीआ का इकु दाता सो मै विसरि न जाई ॥५॥</v>
      </c>
      <c r="E48" s="6" t="str" cm="1">
        <f t="array" ref="E48">INDEX($A:$A, 4 + 5*(ROW()-1))</f>
        <v>there is only the One, the Giver of all souls. May I never forget Him! ||5||</v>
      </c>
    </row>
    <row r="49" spans="1:5" ht="16">
      <c r="A49" t="s">
        <v>278</v>
      </c>
      <c r="C49" s="6" t="str" cm="1">
        <f t="array" ref="C49">INDEX($A:$A, 1 + 5*(ROW()-1))</f>
        <v>ਤੀਰਥਿ ਨਾਵਾ ਜੇ ਤਿਸੁ ਭਾਵਾ ਵਿਣੁ ਭਾਣੇ ਕਿ ਨਾਇ ਕਰੀ ॥</v>
      </c>
      <c r="D49" s="6" t="str" cm="1">
        <f t="array" ref="D49">INDEX($A:$A, 2 + 5*(ROW()-1))</f>
        <v>तीरथि नावा जे तिसु भावा विणु भाणे कि नाइ करी ॥</v>
      </c>
      <c r="E49" s="6" t="str" cm="1">
        <f t="array" ref="E49">INDEX($A:$A, 4 + 5*(ROW()-1))</f>
        <v>If I am pleasing to Him, then that is my pilgrimage and cleansing bath. Without pleasing Him, what good are ritual cleansings?</v>
      </c>
    </row>
    <row r="50" spans="1:5" ht="16">
      <c r="C50" s="6" t="str" cm="1">
        <f t="array" ref="C50">INDEX($A:$A, 1 + 5*(ROW()-1))</f>
        <v>ਜੇਤੀ ਸਿਰਠਿ ਉਪਾਈ ਵੇਖਾ ਵਿਣੁ ਕਰਮਾ ਕਿ ਮਿਲੈ ਲਈ ॥</v>
      </c>
      <c r="D50" s="6" t="str" cm="1">
        <f t="array" ref="D50">INDEX($A:$A, 2 + 5*(ROW()-1))</f>
        <v>जेती सिरठि उपाई वेखा विणु करमा कि मिलै लई ॥</v>
      </c>
      <c r="E50" s="6" t="str" cm="1">
        <f t="array" ref="E50">INDEX($A:$A, 4 + 5*(ROW()-1))</f>
        <v>I gaze upon all the created beings: without the karma of good actions, what are they given to receive?</v>
      </c>
    </row>
    <row r="51" spans="1:5" ht="16">
      <c r="A51" t="s">
        <v>279</v>
      </c>
      <c r="C51" s="6" t="str" cm="1">
        <f t="array" ref="C51">INDEX($A:$A, 1 + 5*(ROW()-1))</f>
        <v>ਮਤਿ ਵਿਚਿ ਰਤਨ ਜਵਾਹਰ ਮਾਣਿਕ ਜੇ ਇਕ ਗੁਰ ਕੀ ਸਿਖ ਸੁਣੀ ॥</v>
      </c>
      <c r="D51" s="6" t="str" cm="1">
        <f t="array" ref="D51">INDEX($A:$A, 2 + 5*(ROW()-1))</f>
        <v>मति विचि रतन जवाहर माणिक जे इक गुर की सिख सुणी ॥</v>
      </c>
      <c r="E51" s="6" t="str" cm="1">
        <f t="array" ref="E51">INDEX($A:$A, 4 + 5*(ROW()-1))</f>
        <v>Within the mind are gems, jewels and rubies, if you listen to the Guru's Teachings, even once.</v>
      </c>
    </row>
    <row r="52" spans="1:5" ht="16">
      <c r="A52" t="s">
        <v>280</v>
      </c>
      <c r="C52" s="6" t="str" cm="1">
        <f t="array" ref="C52">INDEX($A:$A, 1 + 5*(ROW()-1))</f>
        <v>ਗੁਰਾ ਇਕ ਦੇਹਿ ਬੁਝਾਈ ॥</v>
      </c>
      <c r="D52" s="6" t="str" cm="1">
        <f t="array" ref="D52">INDEX($A:$A, 2 + 5*(ROW()-1))</f>
        <v>गुरा इक देहि बुझाई ॥</v>
      </c>
      <c r="E52" s="6" t="str" cm="1">
        <f t="array" ref="E52">INDEX($A:$A, 4 + 5*(ROW()-1))</f>
        <v>The Guru has given me this one understanding:</v>
      </c>
    </row>
    <row r="53" spans="1:5" ht="16">
      <c r="A53" t="s">
        <v>281</v>
      </c>
      <c r="C53" s="6" t="str" cm="1">
        <f t="array" ref="C53">INDEX($A:$A, 1 + 5*(ROW()-1))</f>
        <v>ਸਭਨਾ ਜੀਆ ਕਾ ਇਕੁ ਦਾਤਾ ਸੋ ਮੈ ਵਿਸਰਿ ਨ ਜਾਈ ॥੬॥</v>
      </c>
      <c r="D53" s="6" t="str" cm="1">
        <f t="array" ref="D53">INDEX($A:$A, 2 + 5*(ROW()-1))</f>
        <v>सभना जीआ का इकु दाता सो मै विसरि न जाई ॥६॥</v>
      </c>
      <c r="E53" s="6" t="str" cm="1">
        <f t="array" ref="E53">INDEX($A:$A, 4 + 5*(ROW()-1))</f>
        <v>there is only the One, the Giver of all souls. May I never forget Him! ||6||</v>
      </c>
    </row>
    <row r="54" spans="1:5" ht="16">
      <c r="A54" t="s">
        <v>282</v>
      </c>
      <c r="C54" s="6" t="str" cm="1">
        <f t="array" ref="C54">INDEX($A:$A, 1 + 5*(ROW()-1))</f>
        <v>ਜੇ ਜੁਗ ਚਾਰੇ ਆਰਜਾ ਹੋਰ ਦਸੂਣੀ ਹੋਇ ॥</v>
      </c>
      <c r="D54" s="6" t="str" cm="1">
        <f t="array" ref="D54">INDEX($A:$A, 2 + 5*(ROW()-1))</f>
        <v>जे जुग चारे आरजा होर दसूणी होइ ॥</v>
      </c>
      <c r="E54" s="6" t="str" cm="1">
        <f t="array" ref="E54">INDEX($A:$A, 4 + 5*(ROW()-1))</f>
        <v>Even if you could live throughout the four ages, or even ten times more,</v>
      </c>
    </row>
    <row r="55" spans="1:5" ht="16">
      <c r="C55" s="6" t="str" cm="1">
        <f t="array" ref="C55">INDEX($A:$A, 1 + 5*(ROW()-1))</f>
        <v>ਨਵਾ ਖੰਡਾ ਵਿਚਿ ਜਾਣੀਐ ਨਾਲਿ ਚਲੈ ਸਭੁ ਕੋਇ ॥</v>
      </c>
      <c r="D55" s="6" t="str" cm="1">
        <f t="array" ref="D55">INDEX($A:$A, 2 + 5*(ROW()-1))</f>
        <v>नवा खंडा विचि जाणीऐ नालि चलै सभु कोइ ॥</v>
      </c>
      <c r="E55" s="6" t="str" cm="1">
        <f t="array" ref="E55">INDEX($A:$A, 4 + 5*(ROW()-1))</f>
        <v>and even if you were known throughout the nine continents and followed by all,</v>
      </c>
    </row>
    <row r="56" spans="1:5" ht="16">
      <c r="A56" t="s">
        <v>283</v>
      </c>
      <c r="C56" s="6" t="str" cm="1">
        <f t="array" ref="C56">INDEX($A:$A, 1 + 5*(ROW()-1))</f>
        <v>ਚੰਗਾ ਨਾਉ ਰਖਾਇ ਕੈ ਜਸੁ ਕੀਰਤਿ ਜਗਿ ਲੇਇ ॥</v>
      </c>
      <c r="D56" s="6" t="str" cm="1">
        <f t="array" ref="D56">INDEX($A:$A, 2 + 5*(ROW()-1))</f>
        <v>चंगा नाउ रखाइ कै जसु कीरति जगि लेइ ॥</v>
      </c>
      <c r="E56" s="6" t="str" cm="1">
        <f t="array" ref="E56">INDEX($A:$A, 4 + 5*(ROW()-1))</f>
        <v>with a good name and reputation, with praise and fame throughout the world-</v>
      </c>
    </row>
    <row r="57" spans="1:5" ht="16">
      <c r="A57" t="s">
        <v>284</v>
      </c>
      <c r="C57" s="6" t="str" cm="1">
        <f t="array" ref="C57">INDEX($A:$A, 1 + 5*(ROW()-1))</f>
        <v>ਜੇ ਤਿਸੁ ਨਦਰਿ ਨ ਆਵਈ ਤ ਵਾਤ ਨ ਪੁਛੈ ਕੇ ॥</v>
      </c>
      <c r="D57" s="6" t="str" cm="1">
        <f t="array" ref="D57">INDEX($A:$A, 2 + 5*(ROW()-1))</f>
        <v>जे तिसु नदरि न आवई त वात न पुछै के ॥</v>
      </c>
      <c r="E57" s="6" t="str" cm="1">
        <f t="array" ref="E57">INDEX($A:$A, 4 + 5*(ROW()-1))</f>
        <v>still, if the Lord does not bless you with His Glance of Grace, then who cares? What is the use?</v>
      </c>
    </row>
    <row r="58" spans="1:5" ht="16">
      <c r="A58" t="s">
        <v>285</v>
      </c>
      <c r="C58" s="6" t="str" cm="1">
        <f t="array" ref="C58">INDEX($A:$A, 1 + 5*(ROW()-1))</f>
        <v>ਕੀਟਾ ਅੰਦਰਿ ਕੀਟੁ ਕਰਿ ਦੋਸੀ ਦੋਸੁ ਧਰੇ ॥</v>
      </c>
      <c r="D58" s="6" t="str" cm="1">
        <f t="array" ref="D58">INDEX($A:$A, 2 + 5*(ROW()-1))</f>
        <v>कीटा अंदरि कीटु करि दोसी दोसु धरे ॥</v>
      </c>
      <c r="E58" s="6" t="str" cm="1">
        <f t="array" ref="E58">INDEX($A:$A, 4 + 5*(ROW()-1))</f>
        <v>Among worms, you would be considered a lowly worm, and even contemptible sinners would hold you in contempt.</v>
      </c>
    </row>
    <row r="59" spans="1:5" ht="16">
      <c r="A59" t="s">
        <v>286</v>
      </c>
      <c r="C59" s="6" t="str" cm="1">
        <f t="array" ref="C59">INDEX($A:$A, 1 + 5*(ROW()-1))</f>
        <v>ਨਾਨਕ ਨਿਰਗੁਣਿ ਗੁਣੁ ਕਰੇ ਗੁਣਵੰਤਿਆ ਗੁਣੁ ਦੇ ॥</v>
      </c>
      <c r="D59" s="6" t="str" cm="1">
        <f t="array" ref="D59">INDEX($A:$A, 2 + 5*(ROW()-1))</f>
        <v>नानक निरगुणि गुणु करे गुणवंतिआ गुणु दे ॥</v>
      </c>
      <c r="E59" s="6" t="str" cm="1">
        <f t="array" ref="E59">INDEX($A:$A, 4 + 5*(ROW()-1))</f>
        <v>O Nanak, God blesses the unworthy with virtue, and bestows virtue on the virtuous.</v>
      </c>
    </row>
    <row r="60" spans="1:5" ht="16">
      <c r="C60" s="6" t="str" cm="1">
        <f t="array" ref="C60">INDEX($A:$A, 1 + 5*(ROW()-1))</f>
        <v>ਤੇਹਾ ਕੋਇ ਨ ਸੁਝਈ ਜਿ ਤਿਸੁ ਗੁਣੁ ਕੋਇ ਕਰੇ ॥੭॥</v>
      </c>
      <c r="D60" s="6" t="str" cm="1">
        <f t="array" ref="D60">INDEX($A:$A, 2 + 5*(ROW()-1))</f>
        <v>तेहा कोइ न सुझई जि तिसु गुणु कोइ करे ॥७॥</v>
      </c>
      <c r="E60" s="6" t="str" cm="1">
        <f t="array" ref="E60">INDEX($A:$A, 4 + 5*(ROW()-1))</f>
        <v>No one can even imagine anyone who can bestow virtue upon Him. ||7||</v>
      </c>
    </row>
    <row r="61" spans="1:5" ht="16">
      <c r="A61" t="s">
        <v>287</v>
      </c>
      <c r="C61" s="6" t="str" cm="1">
        <f t="array" ref="C61">INDEX($A:$A, 1 + 5*(ROW()-1))</f>
        <v>ਸੁਣਿਐ ਸਿਧ ਪੀਰ ਸੁਰਿ ਨਾਥ ॥</v>
      </c>
      <c r="D61" s="6" t="str" cm="1">
        <f t="array" ref="D61">INDEX($A:$A, 2 + 5*(ROW()-1))</f>
        <v>सुणिऐ सिध पीर सुरि नाथ ॥</v>
      </c>
      <c r="E61" s="6" t="str" cm="1">
        <f t="array" ref="E61">INDEX($A:$A, 4 + 5*(ROW()-1))</f>
        <v>Listening-the Siddhas, the spiritual teachers, the heroic warriors, the yogic masters.</v>
      </c>
    </row>
    <row r="62" spans="1:5" ht="16">
      <c r="A62" t="s">
        <v>288</v>
      </c>
      <c r="C62" s="6" t="str" cm="1">
        <f t="array" ref="C62">INDEX($A:$A, 1 + 5*(ROW()-1))</f>
        <v>ਸੁਣਿਐ ਧਰਤਿ ਧਵਲ ਆਕਾਸ ॥</v>
      </c>
      <c r="D62" s="6" t="str" cm="1">
        <f t="array" ref="D62">INDEX($A:$A, 2 + 5*(ROW()-1))</f>
        <v>सुणिऐ धरति धवल आकास ॥</v>
      </c>
      <c r="E62" s="6" t="str" cm="1">
        <f t="array" ref="E62">INDEX($A:$A, 4 + 5*(ROW()-1))</f>
        <v>Listening-the earth, its support and the Akaashic ethers.</v>
      </c>
    </row>
    <row r="63" spans="1:5" ht="16">
      <c r="A63" t="s">
        <v>289</v>
      </c>
      <c r="C63" s="6" t="str" cm="1">
        <f t="array" ref="C63">INDEX($A:$A, 1 + 5*(ROW()-1))</f>
        <v>ਸੁਣਿਐ ਦੀਪ ਲੋਅ ਪਾਤਾਲ ॥</v>
      </c>
      <c r="D63" s="6" t="str" cm="1">
        <f t="array" ref="D63">INDEX($A:$A, 2 + 5*(ROW()-1))</f>
        <v>सुणिऐ दीप लोअ पाताल ॥</v>
      </c>
      <c r="E63" s="6" t="str" cm="1">
        <f t="array" ref="E63">INDEX($A:$A, 4 + 5*(ROW()-1))</f>
        <v>Listening-the oceans, the lands of the world and the nether regions of the underworld.</v>
      </c>
    </row>
    <row r="64" spans="1:5" ht="16">
      <c r="A64" t="s">
        <v>290</v>
      </c>
      <c r="C64" s="6" t="str" cm="1">
        <f t="array" ref="C64">INDEX($A:$A, 1 + 5*(ROW()-1))</f>
        <v>ਸੁਣਿਐ ਪੋਹਿ ਨ ਸਕੈ ਕਾਲੁ ॥</v>
      </c>
      <c r="D64" s="6" t="str" cm="1">
        <f t="array" ref="D64">INDEX($A:$A, 2 + 5*(ROW()-1))</f>
        <v>सुणिऐ पोहि न सकै कालु ॥</v>
      </c>
      <c r="E64" s="6" t="str" cm="1">
        <f t="array" ref="E64">INDEX($A:$A, 4 + 5*(ROW()-1))</f>
        <v>Listening-Death cannot even touch you.</v>
      </c>
    </row>
    <row r="65" spans="1:5" ht="16">
      <c r="C65" s="6" t="str" cm="1">
        <f t="array" ref="C65">INDEX($A:$A, 1 + 5*(ROW()-1))</f>
        <v>ਨਾਨਕ ਭਗਤਾ ਸਦਾ ਵਿਗਾਸੁ ॥</v>
      </c>
      <c r="D65" s="6" t="str" cm="1">
        <f t="array" ref="D65">INDEX($A:$A, 2 + 5*(ROW()-1))</f>
        <v>नानक भगता सदा विगासु ॥</v>
      </c>
      <c r="E65" s="6" t="str" cm="1">
        <f t="array" ref="E65">INDEX($A:$A, 4 + 5*(ROW()-1))</f>
        <v>O Nanak, the devotees are forever in bliss.</v>
      </c>
    </row>
    <row r="66" spans="1:5" ht="16">
      <c r="A66" t="s">
        <v>291</v>
      </c>
      <c r="C66" s="6" t="str" cm="1">
        <f t="array" ref="C66">INDEX($A:$A, 1 + 5*(ROW()-1))</f>
        <v>ਸੁਣਿਐ ਦੂਖ ਪਾਪ ਕਾ ਨਾਸੁ ॥੮॥</v>
      </c>
      <c r="D66" s="6" t="str" cm="1">
        <f t="array" ref="D66">INDEX($A:$A, 2 + 5*(ROW()-1))</f>
        <v>सुणिऐ दूख पाप का नासु ॥८॥</v>
      </c>
      <c r="E66" s="6" t="str" cm="1">
        <f t="array" ref="E66">INDEX($A:$A, 4 + 5*(ROW()-1))</f>
        <v>Listening-pain and sin are erased. ||8||</v>
      </c>
    </row>
    <row r="67" spans="1:5" ht="16">
      <c r="A67" t="s">
        <v>292</v>
      </c>
      <c r="C67" s="6" t="str" cm="1">
        <f t="array" ref="C67">INDEX($A:$A, 1 + 5*(ROW()-1))</f>
        <v>ਸੁਣਿਐ ਈਸਰੁ ਬਰਮਾ ਇੰਦੁ ॥</v>
      </c>
      <c r="D67" s="6" t="str" cm="1">
        <f t="array" ref="D67">INDEX($A:$A, 2 + 5*(ROW()-1))</f>
        <v>सुणिऐ ईसरु बरमा इंदु ॥</v>
      </c>
      <c r="E67" s="6" t="str" cm="1">
        <f t="array" ref="E67">INDEX($A:$A, 4 + 5*(ROW()-1))</f>
        <v>Listening-Shiva, Brahma and Indra.</v>
      </c>
    </row>
    <row r="68" spans="1:5" ht="16">
      <c r="A68" t="s">
        <v>293</v>
      </c>
      <c r="C68" s="6" t="str" cm="1">
        <f t="array" ref="C68">INDEX($A:$A, 1 + 5*(ROW()-1))</f>
        <v>ਸੁਣਿਐ ਮੁਖਿ ਸਾਲਾਹਣ ਮੰਦੁ ॥</v>
      </c>
      <c r="D68" s="6" t="str" cm="1">
        <f t="array" ref="D68">INDEX($A:$A, 2 + 5*(ROW()-1))</f>
        <v>सुणिऐ मुखि सालाहण मंदु ॥</v>
      </c>
      <c r="E68" s="6" t="str" cm="1">
        <f t="array" ref="E68">INDEX($A:$A, 4 + 5*(ROW()-1))</f>
        <v>Listening-even foul-mouthed people praise Him.</v>
      </c>
    </row>
    <row r="69" spans="1:5" ht="16">
      <c r="A69" t="s">
        <v>294</v>
      </c>
      <c r="C69" s="6" t="str" cm="1">
        <f t="array" ref="C69">INDEX($A:$A, 1 + 5*(ROW()-1))</f>
        <v>ਸੁਣਿਐ ਜੋਗ ਜੁਗਤਿ ਤਨਿ ਭੇਦ ॥</v>
      </c>
      <c r="D69" s="6" t="str" cm="1">
        <f t="array" ref="D69">INDEX($A:$A, 2 + 5*(ROW()-1))</f>
        <v>सुणिऐ जोग जुगति तनि भेद ॥</v>
      </c>
      <c r="E69" s="6" t="str" cm="1">
        <f t="array" ref="E69">INDEX($A:$A, 4 + 5*(ROW()-1))</f>
        <v>Listening-the technology of Yoga and the secrets of the body.</v>
      </c>
    </row>
    <row r="70" spans="1:5" ht="16">
      <c r="C70" s="6" t="str" cm="1">
        <f t="array" ref="C70">INDEX($A:$A, 1 + 5*(ROW()-1))</f>
        <v>ਸੁਣਿਐ ਸਾਸਤ ਸਿਮ੍ਰਿਤਿ ਵੇਦ ॥</v>
      </c>
      <c r="D70" s="6" t="str" cm="1">
        <f t="array" ref="D70">INDEX($A:$A, 2 + 5*(ROW()-1))</f>
        <v>सुणिऐ सासत सिम्रिति वेद ॥</v>
      </c>
      <c r="E70" s="6" t="str" cm="1">
        <f t="array" ref="E70">INDEX($A:$A, 4 + 5*(ROW()-1))</f>
        <v>Listening-the Shaastras, the Simritees and the Vedas.</v>
      </c>
    </row>
    <row r="71" spans="1:5" ht="16">
      <c r="A71" t="s">
        <v>295</v>
      </c>
      <c r="C71" s="6" t="str" cm="1">
        <f t="array" ref="C71">INDEX($A:$A, 1 + 5*(ROW()-1))</f>
        <v>ਨਾਨਕ ਭਗਤਾ ਸਦਾ ਵਿਗਾਸੁ ॥</v>
      </c>
      <c r="D71" s="6" t="str" cm="1">
        <f t="array" ref="D71">INDEX($A:$A, 2 + 5*(ROW()-1))</f>
        <v>नानक भगता सदा विगासु ॥</v>
      </c>
      <c r="E71" s="6" t="str" cm="1">
        <f t="array" ref="E71">INDEX($A:$A, 4 + 5*(ROW()-1))</f>
        <v>O Nanak, the devotees are forever in bliss.</v>
      </c>
    </row>
    <row r="72" spans="1:5" ht="16">
      <c r="A72" t="s">
        <v>296</v>
      </c>
      <c r="C72" s="6" t="str" cm="1">
        <f t="array" ref="C72">INDEX($A:$A, 1 + 5*(ROW()-1))</f>
        <v>ਸੁਣਿਐ ਦੂਖ ਪਾਪ ਕਾ ਨਾਸੁ ॥੯॥</v>
      </c>
      <c r="D72" s="6" t="str" cm="1">
        <f t="array" ref="D72">INDEX($A:$A, 2 + 5*(ROW()-1))</f>
        <v>सुणिऐ दूख पाप का नासु ॥९॥</v>
      </c>
      <c r="E72" s="6" t="str" cm="1">
        <f t="array" ref="E72">INDEX($A:$A, 4 + 5*(ROW()-1))</f>
        <v>Listening-pain and sin are erased. ||9||</v>
      </c>
    </row>
    <row r="73" spans="1:5" ht="16">
      <c r="A73" t="s">
        <v>297</v>
      </c>
      <c r="C73" s="6" t="str" cm="1">
        <f t="array" ref="C73">INDEX($A:$A, 1 + 5*(ROW()-1))</f>
        <v>ਸੁਣਿਐ ਸਤੁ ਸੰਤੋਖੁ ਗਿਆਨੁ ॥</v>
      </c>
      <c r="D73" s="6" t="str" cm="1">
        <f t="array" ref="D73">INDEX($A:$A, 2 + 5*(ROW()-1))</f>
        <v>सुणिऐ सतु संतोखु गिआनु ॥</v>
      </c>
      <c r="E73" s="6" t="str" cm="1">
        <f t="array" ref="E73">INDEX($A:$A, 4 + 5*(ROW()-1))</f>
        <v>Listening-truth, contentment and spiritual wisdom.</v>
      </c>
    </row>
    <row r="74" spans="1:5" ht="16">
      <c r="A74" t="s">
        <v>298</v>
      </c>
      <c r="C74" s="6" t="str" cm="1">
        <f t="array" ref="C74">INDEX($A:$A, 1 + 5*(ROW()-1))</f>
        <v>ਸੁਣਿਐ ਅਠਸਠਿ ਕਾ ਇਸਨਾਨੁ ॥</v>
      </c>
      <c r="D74" s="6" t="str" cm="1">
        <f t="array" ref="D74">INDEX($A:$A, 2 + 5*(ROW()-1))</f>
        <v>सुणिऐ अठसठि का इसनानु ॥</v>
      </c>
      <c r="E74" s="6" t="str" cm="1">
        <f t="array" ref="E74">INDEX($A:$A, 4 + 5*(ROW()-1))</f>
        <v>Listening-take your cleansing bath at the sixty-eight places of pilgrimage.</v>
      </c>
    </row>
    <row r="75" spans="1:5" ht="16">
      <c r="C75" s="6" t="str" cm="1">
        <f t="array" ref="C75">INDEX($A:$A, 1 + 5*(ROW()-1))</f>
        <v>ਸੁਣਿਐ ਪੜਿ ਪੜਿ ਪਾਵਹਿ ਮਾਨੁ ॥</v>
      </c>
      <c r="D75" s="6" t="str" cm="1">
        <f t="array" ref="D75">INDEX($A:$A, 2 + 5*(ROW()-1))</f>
        <v>सुणिऐ पड़ि पड़ि पावहि मानु ॥</v>
      </c>
      <c r="E75" s="6" t="str" cm="1">
        <f t="array" ref="E75">INDEX($A:$A, 4 + 5*(ROW()-1))</f>
        <v>Listening-reading and reciting, honor is obtained.</v>
      </c>
    </row>
    <row r="76" spans="1:5" ht="16">
      <c r="A76" t="s">
        <v>299</v>
      </c>
      <c r="C76" s="6" t="str" cm="1">
        <f t="array" ref="C76">INDEX($A:$A, 1 + 5*(ROW()-1))</f>
        <v>ਸੁਣਿਐ ਲਾਗੈ ਸਹਜਿ ਧਿਆਨੁ ॥</v>
      </c>
      <c r="D76" s="6" t="str" cm="1">
        <f t="array" ref="D76">INDEX($A:$A, 2 + 5*(ROW()-1))</f>
        <v>सुणिऐ लागै सहजि धिआनु ॥</v>
      </c>
      <c r="E76" s="6" t="str" cm="1">
        <f t="array" ref="E76">INDEX($A:$A, 4 + 5*(ROW()-1))</f>
        <v>Listening-intuitively grasp the essence of meditation.</v>
      </c>
    </row>
    <row r="77" spans="1:5" ht="16">
      <c r="A77" t="s">
        <v>300</v>
      </c>
      <c r="C77" s="6" t="str" cm="1">
        <f t="array" ref="C77">INDEX($A:$A, 1 + 5*(ROW()-1))</f>
        <v>ਨਾਨਕ ਭਗਤਾ ਸਦਾ ਵਿਗਾਸੁ ॥</v>
      </c>
      <c r="D77" s="6" t="str" cm="1">
        <f t="array" ref="D77">INDEX($A:$A, 2 + 5*(ROW()-1))</f>
        <v>नानक भगता सदा विगासु ॥</v>
      </c>
      <c r="E77" s="6" t="str" cm="1">
        <f t="array" ref="E77">INDEX($A:$A, 4 + 5*(ROW()-1))</f>
        <v>O Nanak, the devotees are forever in bliss.</v>
      </c>
    </row>
    <row r="78" spans="1:5" ht="16">
      <c r="A78" t="s">
        <v>301</v>
      </c>
      <c r="C78" s="6" t="str" cm="1">
        <f t="array" ref="C78">INDEX($A:$A, 1 + 5*(ROW()-1))</f>
        <v>ਸੁਣਿਐ ਦੂਖ ਪਾਪ ਕਾ ਨਾਸੁ ॥੧੦॥</v>
      </c>
      <c r="D78" s="6" t="str" cm="1">
        <f t="array" ref="D78">INDEX($A:$A, 2 + 5*(ROW()-1))</f>
        <v>सुणिऐ दूख पाप का नासु ॥१०॥</v>
      </c>
      <c r="E78" s="6" t="str" cm="1">
        <f t="array" ref="E78">INDEX($A:$A, 4 + 5*(ROW()-1))</f>
        <v>Listening-pain and sin are erased. ||10||</v>
      </c>
    </row>
    <row r="79" spans="1:5" ht="16">
      <c r="A79" t="s">
        <v>302</v>
      </c>
      <c r="C79" s="6" t="str" cm="1">
        <f t="array" ref="C79">INDEX($A:$A, 1 + 5*(ROW()-1))</f>
        <v>ਸੁਣਿਐ ਸਰਾ ਗੁਣਾ ਕੇ ਗਾਹ ॥</v>
      </c>
      <c r="D79" s="6" t="str" cm="1">
        <f t="array" ref="D79">INDEX($A:$A, 2 + 5*(ROW()-1))</f>
        <v>सुणिऐ सरा गुणा के गाह ॥</v>
      </c>
      <c r="E79" s="6" t="str" cm="1">
        <f t="array" ref="E79">INDEX($A:$A, 4 + 5*(ROW()-1))</f>
        <v>Listening-dive deep into the ocean of virtue.</v>
      </c>
    </row>
    <row r="80" spans="1:5" ht="16">
      <c r="C80" s="6" t="str" cm="1">
        <f t="array" ref="C80">INDEX($A:$A, 1 + 5*(ROW()-1))</f>
        <v>ਸੁਣਿਐ ਸੇਖ ਪੀਰ ਪਾਤਿਸਾਹ ॥</v>
      </c>
      <c r="D80" s="6" t="str" cm="1">
        <f t="array" ref="D80">INDEX($A:$A, 2 + 5*(ROW()-1))</f>
        <v>सुणिऐ सेख पीर पातिसाह ॥</v>
      </c>
      <c r="E80" s="6" t="str" cm="1">
        <f t="array" ref="E80">INDEX($A:$A, 4 + 5*(ROW()-1))</f>
        <v>Listening-the Shaykhs, religious scholars, spiritual teachers and emperors.</v>
      </c>
    </row>
    <row r="81" spans="1:5" ht="16">
      <c r="A81" t="s">
        <v>303</v>
      </c>
      <c r="C81" s="6" t="str" cm="1">
        <f t="array" ref="C81">INDEX($A:$A, 1 + 5*(ROW()-1))</f>
        <v>ਸੁਣਿਐ ਅੰਧੇ ਪਾਵਹਿ ਰਾਹੁ ॥</v>
      </c>
      <c r="D81" s="6" t="str" cm="1">
        <f t="array" ref="D81">INDEX($A:$A, 2 + 5*(ROW()-1))</f>
        <v>सुणिऐ अंधे पावहि राहु ॥</v>
      </c>
      <c r="E81" s="6" t="str" cm="1">
        <f t="array" ref="E81">INDEX($A:$A, 4 + 5*(ROW()-1))</f>
        <v>Listening-even the blind find the Path.</v>
      </c>
    </row>
    <row r="82" spans="1:5" ht="16">
      <c r="A82" t="s">
        <v>304</v>
      </c>
      <c r="C82" s="6" t="str" cm="1">
        <f t="array" ref="C82">INDEX($A:$A, 1 + 5*(ROW()-1))</f>
        <v>ਸੁਣਿਐ ਹਾਥ ਹੋਵੈ ਅਸਗਾਹੁ ॥</v>
      </c>
      <c r="D82" s="6" t="str" cm="1">
        <f t="array" ref="D82">INDEX($A:$A, 2 + 5*(ROW()-1))</f>
        <v>सुणिऐ हाथ होवै असगाहु ॥</v>
      </c>
      <c r="E82" s="6" t="str" cm="1">
        <f t="array" ref="E82">INDEX($A:$A, 4 + 5*(ROW()-1))</f>
        <v>Listening-the Unreachable comes within your grasp.</v>
      </c>
    </row>
    <row r="83" spans="1:5" ht="16">
      <c r="A83" t="s">
        <v>305</v>
      </c>
      <c r="C83" s="6" t="str" cm="1">
        <f t="array" ref="C83">INDEX($A:$A, 1 + 5*(ROW()-1))</f>
        <v>ਨਾਨਕ ਭਗਤਾ ਸਦਾ ਵਿਗਾਸੁ ॥</v>
      </c>
      <c r="D83" s="6" t="str" cm="1">
        <f t="array" ref="D83">INDEX($A:$A, 2 + 5*(ROW()-1))</f>
        <v>नानक भगता सदा विगासु ॥</v>
      </c>
      <c r="E83" s="6" t="str" cm="1">
        <f t="array" ref="E83">INDEX($A:$A, 4 + 5*(ROW()-1))</f>
        <v>O Nanak, the devotees are forever in bliss.</v>
      </c>
    </row>
    <row r="84" spans="1:5" ht="16">
      <c r="A84" t="s">
        <v>306</v>
      </c>
      <c r="C84" s="6" t="str" cm="1">
        <f t="array" ref="C84">INDEX($A:$A, 1 + 5*(ROW()-1))</f>
        <v>ਸੁਣਿਐ ਦੂਖ ਪਾਪ ਕਾ ਨਾਸੁ ॥੧੧॥</v>
      </c>
      <c r="D84" s="6" t="str" cm="1">
        <f t="array" ref="D84">INDEX($A:$A, 2 + 5*(ROW()-1))</f>
        <v>सुणिऐ दूख पाप का नासु ॥११॥</v>
      </c>
      <c r="E84" s="6" t="str" cm="1">
        <f t="array" ref="E84">INDEX($A:$A, 4 + 5*(ROW()-1))</f>
        <v>Listening-pain and sin are erased. ||11||</v>
      </c>
    </row>
    <row r="85" spans="1:5" ht="16">
      <c r="C85" s="6" t="str" cm="1">
        <f t="array" ref="C85">INDEX($A:$A, 1 + 5*(ROW()-1))</f>
        <v>ਮੰਨੇ ਕੀ ਗਤਿ ਕਹੀ ਨ ਜਾਇ ॥</v>
      </c>
      <c r="D85" s="6" t="str" cm="1">
        <f t="array" ref="D85">INDEX($A:$A, 2 + 5*(ROW()-1))</f>
        <v>मंने की गति कही न जाइ ॥</v>
      </c>
      <c r="E85" s="6" t="str" cm="1">
        <f t="array" ref="E85">INDEX($A:$A, 4 + 5*(ROW()-1))</f>
        <v>The state of the faithful cannot be described.</v>
      </c>
    </row>
    <row r="86" spans="1:5" ht="16">
      <c r="A86" t="s">
        <v>307</v>
      </c>
      <c r="C86" s="6" t="str" cm="1">
        <f t="array" ref="C86">INDEX($A:$A, 1 + 5*(ROW()-1))</f>
        <v>ਜੇ ਕੋ ਕਹੈ ਪਿਛੈ ਪਛੁਤਾਇ ॥</v>
      </c>
      <c r="D86" s="6" t="str" cm="1">
        <f t="array" ref="D86">INDEX($A:$A, 2 + 5*(ROW()-1))</f>
        <v>जे को कहै पिछै पछुताइ ॥</v>
      </c>
      <c r="E86" s="6" t="str" cm="1">
        <f t="array" ref="E86">INDEX($A:$A, 4 + 5*(ROW()-1))</f>
        <v>One who tries to describe this shall regret the attempt.</v>
      </c>
    </row>
    <row r="87" spans="1:5" ht="16">
      <c r="A87" t="s">
        <v>308</v>
      </c>
      <c r="C87" s="6" t="str" cm="1">
        <f t="array" ref="C87">INDEX($A:$A, 1 + 5*(ROW()-1))</f>
        <v>ਕਾਗਦਿ ਕਲਮ ਨ ਲਿਖਣਹਾਰੁ ॥</v>
      </c>
      <c r="D87" s="6" t="str" cm="1">
        <f t="array" ref="D87">INDEX($A:$A, 2 + 5*(ROW()-1))</f>
        <v>कागदि कलम न लिखणहारु ॥</v>
      </c>
      <c r="E87" s="6" t="str" cm="1">
        <f t="array" ref="E87">INDEX($A:$A, 4 + 5*(ROW()-1))</f>
        <v>No paper, no pen, no scribe</v>
      </c>
    </row>
    <row r="88" spans="1:5" ht="16">
      <c r="A88" t="s">
        <v>309</v>
      </c>
      <c r="C88" s="6" t="str" cm="1">
        <f t="array" ref="C88">INDEX($A:$A, 1 + 5*(ROW()-1))</f>
        <v>ਮੰਨੇ ਕਾ ਬਹਿ ਕਰਨਿ ਵੀਚਾਰੁ ॥</v>
      </c>
      <c r="D88" s="6" t="str" cm="1">
        <f t="array" ref="D88">INDEX($A:$A, 2 + 5*(ROW()-1))</f>
        <v>मंने का बहि करनि वीचारु ॥</v>
      </c>
      <c r="E88" s="6" t="str" cm="1">
        <f t="array" ref="E88">INDEX($A:$A, 4 + 5*(ROW()-1))</f>
        <v>can record the state of the faithful.</v>
      </c>
    </row>
    <row r="89" spans="1:5" ht="16">
      <c r="A89" t="s">
        <v>310</v>
      </c>
      <c r="C89" s="6" t="str" cm="1">
        <f t="array" ref="C89">INDEX($A:$A, 1 + 5*(ROW()-1))</f>
        <v>ਐਸਾ ਨਾਮੁ ਨਿਰੰਜਨੁ ਹੋਇ ॥</v>
      </c>
      <c r="D89" s="6" t="str" cm="1">
        <f t="array" ref="D89">INDEX($A:$A, 2 + 5*(ROW()-1))</f>
        <v>ऐसा नामु निरंजनु होइ ॥</v>
      </c>
      <c r="E89" s="6" t="str" cm="1">
        <f t="array" ref="E89">INDEX($A:$A, 4 + 5*(ROW()-1))</f>
        <v>Such is the Name of the Immaculate Lord.</v>
      </c>
    </row>
    <row r="90" spans="1:5" ht="16">
      <c r="C90" s="6" t="str" cm="1">
        <f t="array" ref="C90">INDEX($A:$A, 1 + 5*(ROW()-1))</f>
        <v>ਜੇ ਕੋ ਮੰਨਿ ਜਾਣੈ ਮਨਿ ਕੋਇ ॥੧੨॥</v>
      </c>
      <c r="D90" s="6" t="str" cm="1">
        <f t="array" ref="D90">INDEX($A:$A, 2 + 5*(ROW()-1))</f>
        <v>जे को मंनि जाणै मनि कोइ ॥१२॥</v>
      </c>
      <c r="E90" s="6" t="str" cm="1">
        <f t="array" ref="E90">INDEX($A:$A, 4 + 5*(ROW()-1))</f>
        <v>Only one who has faith comes to know such a state of mind. ||12||</v>
      </c>
    </row>
    <row r="91" spans="1:5" ht="16">
      <c r="A91" t="s">
        <v>311</v>
      </c>
      <c r="C91" s="6" t="str" cm="1">
        <f t="array" ref="C91">INDEX($A:$A, 1 + 5*(ROW()-1))</f>
        <v>ਮੰਨੈ ਸੁਰਤਿ ਹੋਵੈ ਮਨਿ ਬੁਧਿ ॥</v>
      </c>
      <c r="D91" s="6" t="str" cm="1">
        <f t="array" ref="D91">INDEX($A:$A, 2 + 5*(ROW()-1))</f>
        <v>मंनै सुरति होवै मनि बुधि ॥</v>
      </c>
      <c r="E91" s="6" t="str" cm="1">
        <f t="array" ref="E91">INDEX($A:$A, 4 + 5*(ROW()-1))</f>
        <v>The faithful have intuitive awareness and intelligence.</v>
      </c>
    </row>
    <row r="92" spans="1:5" ht="16">
      <c r="A92" t="s">
        <v>312</v>
      </c>
      <c r="C92" s="6" t="str" cm="1">
        <f t="array" ref="C92">INDEX($A:$A, 1 + 5*(ROW()-1))</f>
        <v>ਮੰਨੈ ਸਗਲ ਭਵਣ ਕੀ ਸੁਧਿ ॥</v>
      </c>
      <c r="D92" s="6" t="str" cm="1">
        <f t="array" ref="D92">INDEX($A:$A, 2 + 5*(ROW()-1))</f>
        <v>मंनै सगल भवण की सुधि ॥</v>
      </c>
      <c r="E92" s="6" t="str" cm="1">
        <f t="array" ref="E92">INDEX($A:$A, 4 + 5*(ROW()-1))</f>
        <v>The faithful know about all worlds and realms.</v>
      </c>
    </row>
    <row r="93" spans="1:5" ht="16">
      <c r="A93" t="s">
        <v>313</v>
      </c>
      <c r="C93" s="6" t="str" cm="1">
        <f t="array" ref="C93">INDEX($A:$A, 1 + 5*(ROW()-1))</f>
        <v>ਮੰਨੈ ਮੁਹਿ ਚੋਟਾ ਨਾ ਖਾਇ ॥</v>
      </c>
      <c r="D93" s="6" t="str" cm="1">
        <f t="array" ref="D93">INDEX($A:$A, 2 + 5*(ROW()-1))</f>
        <v>मंनै मुहि चोटा ना खाइ ॥</v>
      </c>
      <c r="E93" s="6" t="str" cm="1">
        <f t="array" ref="E93">INDEX($A:$A, 4 + 5*(ROW()-1))</f>
        <v>The faithful shall never be struck across the face.</v>
      </c>
    </row>
    <row r="94" spans="1:5" ht="16">
      <c r="A94" t="s">
        <v>314</v>
      </c>
      <c r="C94" s="6" t="str" cm="1">
        <f t="array" ref="C94">INDEX($A:$A, 1 + 5*(ROW()-1))</f>
        <v>ਮੰਨੈ ਜਮ ਕੈ ਸਾਥਿ ਨ ਜਾਇ ॥</v>
      </c>
      <c r="D94" s="6" t="str" cm="1">
        <f t="array" ref="D94">INDEX($A:$A, 2 + 5*(ROW()-1))</f>
        <v>मंनै जम कै साथि न जाइ ॥</v>
      </c>
      <c r="E94" s="6" t="str" cm="1">
        <f t="array" ref="E94">INDEX($A:$A, 4 + 5*(ROW()-1))</f>
        <v>The faithful do not have to go with the Messenger of Death.</v>
      </c>
    </row>
    <row r="95" spans="1:5" ht="16">
      <c r="C95" s="6" t="str" cm="1">
        <f t="array" ref="C95">INDEX($A:$A, 1 + 5*(ROW()-1))</f>
        <v>ਐਸਾ ਨਾਮੁ ਨਿਰੰਜਨੁ ਹੋਇ ॥</v>
      </c>
      <c r="D95" s="6" t="str" cm="1">
        <f t="array" ref="D95">INDEX($A:$A, 2 + 5*(ROW()-1))</f>
        <v>ऐसा नामु निरंजनु होइ ॥</v>
      </c>
      <c r="E95" s="6" t="str" cm="1">
        <f t="array" ref="E95">INDEX($A:$A, 4 + 5*(ROW()-1))</f>
        <v>Such is the Name of the Immaculate Lord.</v>
      </c>
    </row>
    <row r="96" spans="1:5" ht="16">
      <c r="A96" t="s">
        <v>315</v>
      </c>
      <c r="C96" s="6" t="str" cm="1">
        <f t="array" ref="C96">INDEX($A:$A, 1 + 5*(ROW()-1))</f>
        <v>ਜੇ ਕੋ ਮੰਨਿ ਜਾਣੈ ਮਨਿ ਕੋਇ ॥੧੩॥</v>
      </c>
      <c r="D96" s="6" t="str" cm="1">
        <f t="array" ref="D96">INDEX($A:$A, 2 + 5*(ROW()-1))</f>
        <v>जे को मंनि जाणै मनि कोइ ॥१३॥</v>
      </c>
      <c r="E96" s="6" t="str" cm="1">
        <f t="array" ref="E96">INDEX($A:$A, 4 + 5*(ROW()-1))</f>
        <v>Only one who has faith comes to know such a state of mind. ||13||</v>
      </c>
    </row>
    <row r="97" spans="1:5" ht="16">
      <c r="A97" t="s">
        <v>316</v>
      </c>
      <c r="C97" s="6" t="str" cm="1">
        <f t="array" ref="C97">INDEX($A:$A, 1 + 5*(ROW()-1))</f>
        <v>ਮੰਨੈ ਮਾਰਗਿ ਠਾਕ ਨ ਪਾਇ ॥</v>
      </c>
      <c r="D97" s="6" t="str" cm="1">
        <f t="array" ref="D97">INDEX($A:$A, 2 + 5*(ROW()-1))</f>
        <v>मंनै मारगि ठाक न पाइ ॥</v>
      </c>
      <c r="E97" s="6" t="str" cm="1">
        <f t="array" ref="E97">INDEX($A:$A, 4 + 5*(ROW()-1))</f>
        <v>The path of the faithful shall never be blocked.</v>
      </c>
    </row>
    <row r="98" spans="1:5" ht="16">
      <c r="A98" t="s">
        <v>317</v>
      </c>
      <c r="C98" s="6" t="str" cm="1">
        <f t="array" ref="C98">INDEX($A:$A, 1 + 5*(ROW()-1))</f>
        <v>ਮੰਨੈ ਪਤਿ ਸਿਉ ਪਰਗਟੁ ਜਾਇ ॥</v>
      </c>
      <c r="D98" s="6" t="str" cm="1">
        <f t="array" ref="D98">INDEX($A:$A, 2 + 5*(ROW()-1))</f>
        <v>मंनै पति सिउ परगटु जाइ ॥</v>
      </c>
      <c r="E98" s="6" t="str" cm="1">
        <f t="array" ref="E98">INDEX($A:$A, 4 + 5*(ROW()-1))</f>
        <v>The faithful shall depart with honor and fame.</v>
      </c>
    </row>
    <row r="99" spans="1:5" ht="16">
      <c r="A99" t="s">
        <v>318</v>
      </c>
      <c r="C99" s="6" t="str" cm="1">
        <f t="array" ref="C99">INDEX($A:$A, 1 + 5*(ROW()-1))</f>
        <v>ਮੰਨੈ ਮਗੁ ਨ ਚਲੈ ਪੰਥੁ ॥</v>
      </c>
      <c r="D99" s="6" t="str" cm="1">
        <f t="array" ref="D99">INDEX($A:$A, 2 + 5*(ROW()-1))</f>
        <v>मंनै मगु न चलै पंथु ॥</v>
      </c>
      <c r="E99" s="6" t="str" cm="1">
        <f t="array" ref="E99">INDEX($A:$A, 4 + 5*(ROW()-1))</f>
        <v>The faithful do not follow empty religious rituals.</v>
      </c>
    </row>
    <row r="100" spans="1:5" ht="16">
      <c r="C100" s="6" t="str" cm="1">
        <f t="array" ref="C100">INDEX($A:$A, 1 + 5*(ROW()-1))</f>
        <v>ਮੰਨੈ ਧਰਮ ਸੇਤੀ ਸਨਬੰਧੁ ॥</v>
      </c>
      <c r="D100" s="6" t="str" cm="1">
        <f t="array" ref="D100">INDEX($A:$A, 2 + 5*(ROW()-1))</f>
        <v>मंनै धरम सेती सनबंधु ॥</v>
      </c>
      <c r="E100" s="6" t="str" cm="1">
        <f t="array" ref="E100">INDEX($A:$A, 4 + 5*(ROW()-1))</f>
        <v>The faithful are firmly bound to the Dharma.</v>
      </c>
    </row>
    <row r="101" spans="1:5" ht="16">
      <c r="A101" t="s">
        <v>319</v>
      </c>
      <c r="C101" s="6" t="str" cm="1">
        <f t="array" ref="C101">INDEX($A:$A, 1 + 5*(ROW()-1))</f>
        <v>ਐਸਾ ਨਾਮੁ ਨਿਰੰਜਨੁ ਹੋਇ ॥</v>
      </c>
      <c r="D101" s="6" t="str" cm="1">
        <f t="array" ref="D101">INDEX($A:$A, 2 + 5*(ROW()-1))</f>
        <v>ऐसा नामु निरंजनु होइ ॥</v>
      </c>
      <c r="E101" s="6" t="str" cm="1">
        <f t="array" ref="E101">INDEX($A:$A, 4 + 5*(ROW()-1))</f>
        <v>Such is the Name of the Immaculate Lord.</v>
      </c>
    </row>
    <row r="102" spans="1:5" ht="16">
      <c r="A102" t="s">
        <v>320</v>
      </c>
      <c r="C102" s="6" t="str" cm="1">
        <f t="array" ref="C102">INDEX($A:$A, 1 + 5*(ROW()-1))</f>
        <v>ਜੇ ਕੋ ਮੰਨਿ ਜਾਣੈ ਮਨਿ ਕੋਇ ॥੧੪॥</v>
      </c>
      <c r="D102" s="6" t="str" cm="1">
        <f t="array" ref="D102">INDEX($A:$A, 2 + 5*(ROW()-1))</f>
        <v>जे को मंनि जाणै मनि कोइ ॥१४॥</v>
      </c>
      <c r="E102" s="6" t="str" cm="1">
        <f t="array" ref="E102">INDEX($A:$A, 4 + 5*(ROW()-1))</f>
        <v>Only one who has faith comes to know such a state of mind. ||14||</v>
      </c>
    </row>
    <row r="103" spans="1:5" ht="16">
      <c r="A103" t="s">
        <v>321</v>
      </c>
      <c r="C103" s="6" t="str" cm="1">
        <f t="array" ref="C103">INDEX($A:$A, 1 + 5*(ROW()-1))</f>
        <v>ਮੰਨੈ ਪਾਵਹਿ ਮੋਖੁ ਦੁਆਰੁ ॥</v>
      </c>
      <c r="D103" s="6" t="str" cm="1">
        <f t="array" ref="D103">INDEX($A:$A, 2 + 5*(ROW()-1))</f>
        <v>मंनै पावहि मोखु दुआरु ॥</v>
      </c>
      <c r="E103" s="6" t="str" cm="1">
        <f t="array" ref="E103">INDEX($A:$A, 4 + 5*(ROW()-1))</f>
        <v>The faithful find the Door of Liberation.</v>
      </c>
    </row>
    <row r="104" spans="1:5" ht="16">
      <c r="A104" t="s">
        <v>322</v>
      </c>
      <c r="C104" s="6" t="str" cm="1">
        <f t="array" ref="C104">INDEX($A:$A, 1 + 5*(ROW()-1))</f>
        <v>ਮੰਨੈ ਪਰਵਾਰੈ ਸਾਧਾਰੁ ॥</v>
      </c>
      <c r="D104" s="6" t="str" cm="1">
        <f t="array" ref="D104">INDEX($A:$A, 2 + 5*(ROW()-1))</f>
        <v>मंनै परवारै साधारु ॥</v>
      </c>
      <c r="E104" s="6" t="str" cm="1">
        <f t="array" ref="E104">INDEX($A:$A, 4 + 5*(ROW()-1))</f>
        <v>The faithful uplift and redeem their family and relations.</v>
      </c>
    </row>
    <row r="105" spans="1:5" ht="16">
      <c r="C105" s="6" t="str" cm="1">
        <f t="array" ref="C105">INDEX($A:$A, 1 + 5*(ROW()-1))</f>
        <v>ਮੰਨੈ ਤਰੈ ਤਾਰੇ ਗੁਰੁ ਸਿਖ ॥</v>
      </c>
      <c r="D105" s="6" t="str" cm="1">
        <f t="array" ref="D105">INDEX($A:$A, 2 + 5*(ROW()-1))</f>
        <v>मंनै तरै तारे गुरु सिख ॥</v>
      </c>
      <c r="E105" s="6" t="str" cm="1">
        <f t="array" ref="E105">INDEX($A:$A, 4 + 5*(ROW()-1))</f>
        <v>The faithful are saved, and carried across with the Sikhs of the Guru.</v>
      </c>
    </row>
    <row r="106" spans="1:5" ht="16">
      <c r="A106" t="s">
        <v>323</v>
      </c>
      <c r="C106" s="6" t="str" cm="1">
        <f t="array" ref="C106">INDEX($A:$A, 1 + 5*(ROW()-1))</f>
        <v>ਮੰਨੈ ਨਾਨਕ ਭਵਹਿ ਨ ਭਿਖ ॥</v>
      </c>
      <c r="D106" s="6" t="str" cm="1">
        <f t="array" ref="D106">INDEX($A:$A, 2 + 5*(ROW()-1))</f>
        <v>मंनै नानक भवहि न भिख ॥</v>
      </c>
      <c r="E106" s="6" t="str" cm="1">
        <f t="array" ref="E106">INDEX($A:$A, 4 + 5*(ROW()-1))</f>
        <v>The faithful, O Nanak, do not wander around begging.</v>
      </c>
    </row>
    <row r="107" spans="1:5" ht="16">
      <c r="A107" t="s">
        <v>324</v>
      </c>
      <c r="C107" s="6" t="str" cm="1">
        <f t="array" ref="C107">INDEX($A:$A, 1 + 5*(ROW()-1))</f>
        <v>ਐਸਾ ਨਾਮੁ ਨਿਰੰਜਨੁ ਹੋਇ ॥</v>
      </c>
      <c r="D107" s="6" t="str" cm="1">
        <f t="array" ref="D107">INDEX($A:$A, 2 + 5*(ROW()-1))</f>
        <v>ऐसा नामु निरंजनु होइ ॥</v>
      </c>
      <c r="E107" s="6" t="str" cm="1">
        <f t="array" ref="E107">INDEX($A:$A, 4 + 5*(ROW()-1))</f>
        <v>Such is the Name of the Immaculate Lord.</v>
      </c>
    </row>
    <row r="108" spans="1:5" ht="16">
      <c r="A108" t="s">
        <v>325</v>
      </c>
      <c r="C108" s="6" t="str" cm="1">
        <f t="array" ref="C108">INDEX($A:$A, 1 + 5*(ROW()-1))</f>
        <v>ਜੇ ਕੋ ਮੰਨਿ ਜਾਣੈ ਮਨਿ ਕੋਇ ॥੧੫॥</v>
      </c>
      <c r="D108" s="6" t="str" cm="1">
        <f t="array" ref="D108">INDEX($A:$A, 2 + 5*(ROW()-1))</f>
        <v>जे को मंनि जाणै मनि कोइ ॥१५॥</v>
      </c>
      <c r="E108" s="6" t="str" cm="1">
        <f t="array" ref="E108">INDEX($A:$A, 4 + 5*(ROW()-1))</f>
        <v>Only one who has faith comes to know such a state of mind. ||15||</v>
      </c>
    </row>
    <row r="109" spans="1:5" ht="16">
      <c r="A109" t="s">
        <v>326</v>
      </c>
      <c r="C109" s="6" t="str" cm="1">
        <f t="array" ref="C109">INDEX($A:$A, 1 + 5*(ROW()-1))</f>
        <v>ਪੰਚ ਪਰਵਾਣ ਪੰਚ ਪਰਧਾਨੁ ॥</v>
      </c>
      <c r="D109" s="6" t="str" cm="1">
        <f t="array" ref="D109">INDEX($A:$A, 2 + 5*(ROW()-1))</f>
        <v>पंच परवाण पंच परधानु ॥</v>
      </c>
      <c r="E109" s="6" t="str" cm="1">
        <f t="array" ref="E109">INDEX($A:$A, 4 + 5*(ROW()-1))</f>
        <v>The chosen ones, the self-elect, are accepted and approved.</v>
      </c>
    </row>
    <row r="110" spans="1:5" ht="16">
      <c r="C110" s="6" t="str" cm="1">
        <f t="array" ref="C110">INDEX($A:$A, 1 + 5*(ROW()-1))</f>
        <v>ਪੰਚੇ ਪਾਵਹਿ ਦਰਗਹਿ ਮਾਨੁ ॥</v>
      </c>
      <c r="D110" s="6" t="str" cm="1">
        <f t="array" ref="D110">INDEX($A:$A, 2 + 5*(ROW()-1))</f>
        <v>पंचे पावहि दरगहि मानु ॥</v>
      </c>
      <c r="E110" s="6" t="str" cm="1">
        <f t="array" ref="E110">INDEX($A:$A, 4 + 5*(ROW()-1))</f>
        <v>The chosen ones are honored in the Court of the Lord.</v>
      </c>
    </row>
    <row r="111" spans="1:5" ht="16">
      <c r="A111" t="s">
        <v>327</v>
      </c>
      <c r="C111" s="6" t="str" cm="1">
        <f t="array" ref="C111">INDEX($A:$A, 1 + 5*(ROW()-1))</f>
        <v>ਪੰਚੇ ਸੋਹਹਿ ਦਰਿ ਰਾਜਾਨੁ ॥</v>
      </c>
      <c r="D111" s="6" t="str" cm="1">
        <f t="array" ref="D111">INDEX($A:$A, 2 + 5*(ROW()-1))</f>
        <v>पंचे सोहहि दरि राजानु ॥</v>
      </c>
      <c r="E111" s="6" t="str" cm="1">
        <f t="array" ref="E111">INDEX($A:$A, 4 + 5*(ROW()-1))</f>
        <v>The chosen ones look beautiful in the courts of kings.</v>
      </c>
    </row>
    <row r="112" spans="1:5" ht="16">
      <c r="A112" t="s">
        <v>328</v>
      </c>
      <c r="C112" s="6" t="str" cm="1">
        <f t="array" ref="C112">INDEX($A:$A, 1 + 5*(ROW()-1))</f>
        <v>ਪੰਚਾ ਕਾ ਗੁਰੁ ਏਕੁ ਧਿਆਨੁ ॥</v>
      </c>
      <c r="D112" s="6" t="str" cm="1">
        <f t="array" ref="D112">INDEX($A:$A, 2 + 5*(ROW()-1))</f>
        <v>पंचा का गुरु एकु धिआनु ॥</v>
      </c>
      <c r="E112" s="6" t="str" cm="1">
        <f t="array" ref="E112">INDEX($A:$A, 4 + 5*(ROW()-1))</f>
        <v>The chosen ones meditate single-mindedly on the Guru.</v>
      </c>
    </row>
    <row r="113" spans="1:5" ht="16">
      <c r="A113" t="s">
        <v>329</v>
      </c>
      <c r="C113" s="6" t="str" cm="1">
        <f t="array" ref="C113">INDEX($A:$A, 1 + 5*(ROW()-1))</f>
        <v>ਜੇ ਕੋ ਕਹੈ ਕਰੈ ਵੀਚਾਰੁ ॥</v>
      </c>
      <c r="D113" s="6" t="str" cm="1">
        <f t="array" ref="D113">INDEX($A:$A, 2 + 5*(ROW()-1))</f>
        <v>जे को कहै करै वीचारु ॥</v>
      </c>
      <c r="E113" s="6" t="str" cm="1">
        <f t="array" ref="E113">INDEX($A:$A, 4 + 5*(ROW()-1))</f>
        <v>No matter how much anyone tries to explain and describe them,</v>
      </c>
    </row>
    <row r="114" spans="1:5" ht="16">
      <c r="A114" t="s">
        <v>330</v>
      </c>
      <c r="C114" s="6" t="str" cm="1">
        <f t="array" ref="C114">INDEX($A:$A, 1 + 5*(ROW()-1))</f>
        <v>ਕਰਤੇ ਕੈ ਕਰਣੈ ਨਾਹੀ ਸੁਮਾਰੁ ॥</v>
      </c>
      <c r="D114" s="6" t="str" cm="1">
        <f t="array" ref="D114">INDEX($A:$A, 2 + 5*(ROW()-1))</f>
        <v>करते कै करणै नाही सुमारु ॥</v>
      </c>
      <c r="E114" s="6" t="str" cm="1">
        <f t="array" ref="E114">INDEX($A:$A, 4 + 5*(ROW()-1))</f>
        <v>the actions of the Creator cannot be counted.</v>
      </c>
    </row>
    <row r="115" spans="1:5" ht="16">
      <c r="C115" s="6" t="str" cm="1">
        <f t="array" ref="C115">INDEX($A:$A, 1 + 5*(ROW()-1))</f>
        <v>ਧੌਲੁ ਧਰਮੁ ਦਇਆ ਕਾ ਪੂਤੁ ॥</v>
      </c>
      <c r="D115" s="6" t="str" cm="1">
        <f t="array" ref="D115">INDEX($A:$A, 2 + 5*(ROW()-1))</f>
        <v>धौलु धरमु दइआ का पूतु ॥</v>
      </c>
      <c r="E115" s="6" t="str" cm="1">
        <f t="array" ref="E115">INDEX($A:$A, 4 + 5*(ROW()-1))</f>
        <v>The mythical bull is Dharma, the son of compassion;</v>
      </c>
    </row>
    <row r="116" spans="1:5" ht="17">
      <c r="A116" s="2" t="s">
        <v>0</v>
      </c>
      <c r="C116" s="6" t="str" cm="1">
        <f t="array" ref="C116">INDEX($A:$A, 1 + 5*(ROW()-1))</f>
        <v>ਸੰਤੋਖੁ ਥਾਪਿ ਰਖਿਆ ਜਿਨਿ ਸੂਤਿ ॥</v>
      </c>
      <c r="D116" s="6" t="str" cm="1">
        <f t="array" ref="D116">INDEX($A:$A, 2 + 5*(ROW()-1))</f>
        <v>संतोखु थापि रखिआ जिनि सूति ॥</v>
      </c>
      <c r="E116" s="6" t="str" cm="1">
        <f t="array" ref="E116">INDEX($A:$A, 4 + 5*(ROW()-1))</f>
        <v>this is what patiently holds the earth in its place.</v>
      </c>
    </row>
    <row r="117" spans="1:5" ht="17">
      <c r="A117" s="3" t="s">
        <v>1</v>
      </c>
      <c r="C117" s="6" t="str" cm="1">
        <f t="array" ref="C117">INDEX($A:$A, 1 + 5*(ROW()-1))</f>
        <v>ਜੇ ਕੋ ਬੁਝੈ ਹੋਵੈ ਸਚਿਆਰੁ ॥</v>
      </c>
      <c r="D117" s="6" t="str" cm="1">
        <f t="array" ref="D117">INDEX($A:$A, 2 + 5*(ROW()-1))</f>
        <v>जे को बुझै होवै सचिआरु ॥</v>
      </c>
      <c r="E117" s="6" t="str" cm="1">
        <f t="array" ref="E117">INDEX($A:$A, 4 + 5*(ROW()-1))</f>
        <v>One who understands this becomes truthful.</v>
      </c>
    </row>
    <row r="118" spans="1:5" ht="16">
      <c r="A118" s="4" t="s">
        <v>2</v>
      </c>
      <c r="C118" s="6" t="str" cm="1">
        <f t="array" ref="C118">INDEX($A:$A, 1 + 5*(ROW()-1))</f>
        <v>ਧਵਲੈ ਉਪਰਿ ਕੇਤਾ ਭਾਰੁ ॥</v>
      </c>
      <c r="D118" s="6" t="str" cm="1">
        <f t="array" ref="D118">INDEX($A:$A, 2 + 5*(ROW()-1))</f>
        <v>धवलै उपरि केता भारु ॥</v>
      </c>
      <c r="E118" s="6" t="str" cm="1">
        <f t="array" ref="E118">INDEX($A:$A, 4 + 5*(ROW()-1))</f>
        <v>What a great load there is on the bull!</v>
      </c>
    </row>
    <row r="119" spans="1:5" ht="16">
      <c r="A119" s="5" t="s">
        <v>3</v>
      </c>
      <c r="C119" s="6" t="str" cm="1">
        <f t="array" ref="C119">INDEX($A:$A, 1 + 5*(ROW()-1))</f>
        <v>ਧਰਤੀ ਹੋਰੁ ਪਰੈ ਹੋਰੁ ਹੋਰੁ ॥</v>
      </c>
      <c r="D119" s="6" t="str" cm="1">
        <f t="array" ref="D119">INDEX($A:$A, 2 + 5*(ROW()-1))</f>
        <v>धरती होरु परै होरु होरु ॥</v>
      </c>
      <c r="E119" s="6" t="str" cm="1">
        <f t="array" ref="E119">INDEX($A:$A, 4 + 5*(ROW()-1))</f>
        <v>So many worlds beyond this world-so very many!</v>
      </c>
    </row>
    <row r="120" spans="1:5" ht="16">
      <c r="A120" s="1"/>
      <c r="C120" s="6" t="str" cm="1">
        <f t="array" ref="C120">INDEX($A:$A, 1 + 5*(ROW()-1))</f>
        <v>ਤਿਸ ਤੇ ਭਾਰੁ ਤਲੈ ਕਵਣੁ ਜੋਰੁ ॥</v>
      </c>
      <c r="D120" s="6" t="str" cm="1">
        <f t="array" ref="D120">INDEX($A:$A, 2 + 5*(ROW()-1))</f>
        <v>तिस ते भारु तलै कवणु जोरु ॥</v>
      </c>
      <c r="E120" s="6" t="str" cm="1">
        <f t="array" ref="E120">INDEX($A:$A, 4 + 5*(ROW()-1))</f>
        <v>What power holds them, and supports their weight?</v>
      </c>
    </row>
    <row r="121" spans="1:5" ht="17">
      <c r="A121" s="2" t="s">
        <v>4</v>
      </c>
      <c r="C121" s="6" t="str" cm="1">
        <f t="array" ref="C121">INDEX($A:$A, 1 + 5*(ROW()-1))</f>
        <v>ਜੀਅ ਜਾਤਿ ਰੰਗਾ ਕੇ ਨਾਵ ॥</v>
      </c>
      <c r="D121" s="6" t="str" cm="1">
        <f t="array" ref="D121">INDEX($A:$A, 2 + 5*(ROW()-1))</f>
        <v>जीअ जाति रंगा के नाव ॥</v>
      </c>
      <c r="E121" s="6" t="str" cm="1">
        <f t="array" ref="E121">INDEX($A:$A, 4 + 5*(ROW()-1))</f>
        <v>The names and the colors of the assorted species of beings</v>
      </c>
    </row>
    <row r="122" spans="1:5" ht="17">
      <c r="A122" s="3" t="s">
        <v>5</v>
      </c>
      <c r="C122" s="6" t="str" cm="1">
        <f t="array" ref="C122">INDEX($A:$A, 1 + 5*(ROW()-1))</f>
        <v>ਸਭਨਾ ਲਿਖਿਆ ਵੁੜੀ ਕਲਾਮ ॥</v>
      </c>
      <c r="D122" s="6" t="str" cm="1">
        <f t="array" ref="D122">INDEX($A:$A, 2 + 5*(ROW()-1))</f>
        <v>सभना लिखिआ वुड़ी कलाम ॥</v>
      </c>
      <c r="E122" s="6" t="str" cm="1">
        <f t="array" ref="E122">INDEX($A:$A, 4 + 5*(ROW()-1))</f>
        <v>were all inscribed by the Ever-flowing Pen of God.</v>
      </c>
    </row>
    <row r="123" spans="1:5" ht="16">
      <c r="A123" s="4" t="s">
        <v>6</v>
      </c>
      <c r="C123" s="6" t="str" cm="1">
        <f t="array" ref="C123">INDEX($A:$A, 1 + 5*(ROW()-1))</f>
        <v>ਏਹੁ ਲੇਖਾ ਲਿਖਿ ਜਾਣੈ ਕੋਇ ॥</v>
      </c>
      <c r="D123" s="6" t="str" cm="1">
        <f t="array" ref="D123">INDEX($A:$A, 2 + 5*(ROW()-1))</f>
        <v>एहु लेखा लिखि जाणै कोइ ॥</v>
      </c>
      <c r="E123" s="6" t="str" cm="1">
        <f t="array" ref="E123">INDEX($A:$A, 4 + 5*(ROW()-1))</f>
        <v>Who knows how to write this account?</v>
      </c>
    </row>
    <row r="124" spans="1:5" ht="16">
      <c r="A124" s="5" t="s">
        <v>7</v>
      </c>
      <c r="C124" s="6" t="str" cm="1">
        <f t="array" ref="C124">INDEX($A:$A, 1 + 5*(ROW()-1))</f>
        <v>ਲੇਖਾ ਲਿਖਿਆ ਕੇਤਾ ਹੋਇ ॥</v>
      </c>
      <c r="D124" s="6" t="str" cm="1">
        <f t="array" ref="D124">INDEX($A:$A, 2 + 5*(ROW()-1))</f>
        <v>लेखा लिखिआ केता होइ ॥</v>
      </c>
      <c r="E124" s="6" t="str" cm="1">
        <f t="array" ref="E124">INDEX($A:$A, 4 + 5*(ROW()-1))</f>
        <v>Just imagine what a huge scroll it would take!</v>
      </c>
    </row>
    <row r="125" spans="1:5" ht="16">
      <c r="A125" s="1"/>
      <c r="C125" s="6" t="str" cm="1">
        <f t="array" ref="C125">INDEX($A:$A, 1 + 5*(ROW()-1))</f>
        <v>ਕੇਤਾ ਤਾਣੁ ਸੁਆਲਿਹੁ ਰੂਪੁ ॥</v>
      </c>
      <c r="D125" s="6" t="str" cm="1">
        <f t="array" ref="D125">INDEX($A:$A, 2 + 5*(ROW()-1))</f>
        <v>केता ताणु सुआलिहु रूपु ॥</v>
      </c>
      <c r="E125" s="6" t="str" cm="1">
        <f t="array" ref="E125">INDEX($A:$A, 4 + 5*(ROW()-1))</f>
        <v>What power! What fascinating beauty!</v>
      </c>
    </row>
    <row r="126" spans="1:5" ht="17">
      <c r="A126" s="2" t="s">
        <v>8</v>
      </c>
      <c r="C126" s="6" t="str" cm="1">
        <f t="array" ref="C126">INDEX($A:$A, 1 + 5*(ROW()-1))</f>
        <v>ਕੇਤੀ ਦਾਤਿ ਜਾਣੈ ਕੌਣੁ ਕੂਤੁ ॥</v>
      </c>
      <c r="D126" s="6" t="str" cm="1">
        <f t="array" ref="D126">INDEX($A:$A, 2 + 5*(ROW()-1))</f>
        <v>केती दाति जाणै कौणु कूतु ॥</v>
      </c>
      <c r="E126" s="6" t="str" cm="1">
        <f t="array" ref="E126">INDEX($A:$A, 4 + 5*(ROW()-1))</f>
        <v>And what gifts! Who can know their extent?</v>
      </c>
    </row>
    <row r="127" spans="1:5" ht="17">
      <c r="A127" s="3" t="s">
        <v>9</v>
      </c>
      <c r="C127" s="6" t="str" cm="1">
        <f t="array" ref="C127">INDEX($A:$A, 1 + 5*(ROW()-1))</f>
        <v>ਕੀਤਾ ਪਸਾਉ ਏਕੋ ਕਵਾਉ ॥</v>
      </c>
      <c r="D127" s="6" t="str" cm="1">
        <f t="array" ref="D127">INDEX($A:$A, 2 + 5*(ROW()-1))</f>
        <v>कीता पसाउ एको कवाउ ॥</v>
      </c>
      <c r="E127" s="6" t="str" cm="1">
        <f t="array" ref="E127">INDEX($A:$A, 4 + 5*(ROW()-1))</f>
        <v>You created the vast expanse of the Universe with One Word!</v>
      </c>
    </row>
    <row r="128" spans="1:5" ht="16">
      <c r="A128" s="4" t="s">
        <v>10</v>
      </c>
      <c r="C128" s="6" t="str" cm="1">
        <f t="array" ref="C128">INDEX($A:$A, 1 + 5*(ROW()-1))</f>
        <v>ਤਿਸ ਤੇ ਹੋਏ ਲਖ ਦਰੀਆਉ ॥</v>
      </c>
      <c r="D128" s="6" t="str" cm="1">
        <f t="array" ref="D128">INDEX($A:$A, 2 + 5*(ROW()-1))</f>
        <v>तिस ते होए लख दरीआउ ॥</v>
      </c>
      <c r="E128" s="6" t="str" cm="1">
        <f t="array" ref="E128">INDEX($A:$A, 4 + 5*(ROW()-1))</f>
        <v>Hundreds of thousands of rivers began to flow.</v>
      </c>
    </row>
    <row r="129" spans="1:5" ht="16">
      <c r="A129" s="5" t="s">
        <v>11</v>
      </c>
      <c r="C129" s="6" t="str" cm="1">
        <f t="array" ref="C129">INDEX($A:$A, 1 + 5*(ROW()-1))</f>
        <v>ਕੁਦਰਤਿ ਕਵਣ ਕਹਾ ਵੀਚਾਰੁ ॥</v>
      </c>
      <c r="D129" s="6" t="str" cm="1">
        <f t="array" ref="D129">INDEX($A:$A, 2 + 5*(ROW()-1))</f>
        <v>कुदरति कवण कहा वीचारु ॥</v>
      </c>
      <c r="E129" s="6" t="str" cm="1">
        <f t="array" ref="E129">INDEX($A:$A, 4 + 5*(ROW()-1))</f>
        <v>How can Your Creative Potency be described?</v>
      </c>
    </row>
    <row r="130" spans="1:5" ht="16">
      <c r="A130" s="1"/>
      <c r="C130" s="6" t="str" cm="1">
        <f t="array" ref="C130">INDEX($A:$A, 1 + 5*(ROW()-1))</f>
        <v>ਵਾਰਿਆ ਨ ਜਾਵਾ ਏਕ ਵਾਰ ॥</v>
      </c>
      <c r="D130" s="6" t="str" cm="1">
        <f t="array" ref="D130">INDEX($A:$A, 2 + 5*(ROW()-1))</f>
        <v>वारिआ न जावा एक वार ॥</v>
      </c>
      <c r="E130" s="6" t="str" cm="1">
        <f t="array" ref="E130">INDEX($A:$A, 4 + 5*(ROW()-1))</f>
        <v>I cannot even once be a sacrifice to You.</v>
      </c>
    </row>
    <row r="131" spans="1:5" ht="17">
      <c r="A131" s="2" t="s">
        <v>12</v>
      </c>
      <c r="C131" s="6" t="str" cm="1">
        <f t="array" ref="C131">INDEX($A:$A, 1 + 5*(ROW()-1))</f>
        <v>ਜੋ ਤੁਧੁ ਭਾਵੈ ਸਾਈ ਭਲੀ ਕਾਰ ॥</v>
      </c>
      <c r="D131" s="6" t="str" cm="1">
        <f t="array" ref="D131">INDEX($A:$A, 2 + 5*(ROW()-1))</f>
        <v>जो तुधु भावै साई भली कार ॥</v>
      </c>
      <c r="E131" s="6" t="str" cm="1">
        <f t="array" ref="E131">INDEX($A:$A, 4 + 5*(ROW()-1))</f>
        <v>Whatever pleases You is the only good done,</v>
      </c>
    </row>
    <row r="132" spans="1:5" ht="17">
      <c r="A132" s="3" t="s">
        <v>13</v>
      </c>
      <c r="C132" s="6" t="str" cm="1">
        <f t="array" ref="C132">INDEX($A:$A, 1 + 5*(ROW()-1))</f>
        <v>ਤੂ ਸਦਾ ਸਲਾਮਤਿ ਨਿਰੰਕਾਰ ॥੧੬॥</v>
      </c>
      <c r="D132" s="6" t="str" cm="1">
        <f t="array" ref="D132">INDEX($A:$A, 2 + 5*(ROW()-1))</f>
        <v>तू सदा सलामति निरंकार ॥१६॥</v>
      </c>
      <c r="E132" s="6" t="str" cm="1">
        <f t="array" ref="E132">INDEX($A:$A, 4 + 5*(ROW()-1))</f>
        <v>You, Eternal and Formless One! ||16||</v>
      </c>
    </row>
    <row r="133" spans="1:5" ht="16">
      <c r="A133" s="4" t="s">
        <v>14</v>
      </c>
      <c r="C133" s="6" t="str" cm="1">
        <f t="array" ref="C133">INDEX($A:$A, 1 + 5*(ROW()-1))</f>
        <v>ਅਸੰਖ ਜਪ ਅਸੰਖ ਭਾਉ ॥</v>
      </c>
      <c r="D133" s="6" t="str" cm="1">
        <f t="array" ref="D133">INDEX($A:$A, 2 + 5*(ROW()-1))</f>
        <v>असंख जप असंख भाउ ॥</v>
      </c>
      <c r="E133" s="6" t="str" cm="1">
        <f t="array" ref="E133">INDEX($A:$A, 4 + 5*(ROW()-1))</f>
        <v>Countless meditations, countless loves.</v>
      </c>
    </row>
    <row r="134" spans="1:5" ht="32">
      <c r="A134" s="5" t="s">
        <v>15</v>
      </c>
      <c r="C134" s="6" t="str" cm="1">
        <f t="array" ref="C134">INDEX($A:$A, 1 + 5*(ROW()-1))</f>
        <v>ਅਸੰਖ ਪੂਜਾ ਅਸੰਖ ਤਪ ਤਾਉ ॥</v>
      </c>
      <c r="D134" s="6" t="str" cm="1">
        <f t="array" ref="D134">INDEX($A:$A, 2 + 5*(ROW()-1))</f>
        <v>असंख पूजा असंख तप ताउ ॥</v>
      </c>
      <c r="E134" s="6" t="str" cm="1">
        <f t="array" ref="E134">INDEX($A:$A, 4 + 5*(ROW()-1))</f>
        <v>Countless worship services, countless austere disciplines.</v>
      </c>
    </row>
    <row r="135" spans="1:5" ht="16">
      <c r="A135" s="1"/>
      <c r="C135" s="6" t="str" cm="1">
        <f t="array" ref="C135">INDEX($A:$A, 1 + 5*(ROW()-1))</f>
        <v>ਅਸੰਖ ਗਰੰਥ ਮੁਖਿ ਵੇਦ ਪਾਠ ॥</v>
      </c>
      <c r="D135" s="6" t="str" cm="1">
        <f t="array" ref="D135">INDEX($A:$A, 2 + 5*(ROW()-1))</f>
        <v>असंख गरंथ मुखि वेद पाठ ॥</v>
      </c>
      <c r="E135" s="6" t="str" cm="1">
        <f t="array" ref="E135">INDEX($A:$A, 4 + 5*(ROW()-1))</f>
        <v>Countless scriptures, and ritual recitations of the Vedas.</v>
      </c>
    </row>
    <row r="136" spans="1:5" ht="17">
      <c r="A136" s="2" t="s">
        <v>16</v>
      </c>
      <c r="C136" s="6" t="str" cm="1">
        <f t="array" ref="C136">INDEX($A:$A, 1 + 5*(ROW()-1))</f>
        <v>ਅਸੰਖ ਜੋਗ ਮਨਿ ਰਹਹਿ ਉਦਾਸ ॥</v>
      </c>
      <c r="D136" s="6" t="str" cm="1">
        <f t="array" ref="D136">INDEX($A:$A, 2 + 5*(ROW()-1))</f>
        <v>असंख जोग मनि रहहि उदास ॥</v>
      </c>
      <c r="E136" s="6" t="str" cm="1">
        <f t="array" ref="E136">INDEX($A:$A, 4 + 5*(ROW()-1))</f>
        <v>Countless Yogis, whose minds remain detached from the world.</v>
      </c>
    </row>
    <row r="137" spans="1:5" ht="17">
      <c r="A137" s="3" t="s">
        <v>17</v>
      </c>
      <c r="C137" s="6" t="str" cm="1">
        <f t="array" ref="C137">INDEX($A:$A, 1 + 5*(ROW()-1))</f>
        <v>ਅਸੰਖ ਭਗਤ ਗੁਣ ਗਿਆਨ ਵੀਚਾਰ ॥</v>
      </c>
      <c r="D137" s="6" t="str" cm="1">
        <f t="array" ref="D137">INDEX($A:$A, 2 + 5*(ROW()-1))</f>
        <v>असंख भगत गुण गिआन वीचार ॥</v>
      </c>
      <c r="E137" s="6" t="str" cm="1">
        <f t="array" ref="E137">INDEX($A:$A, 4 + 5*(ROW()-1))</f>
        <v>Countless devotees contemplate the Wisdom and Virtues of the Lord.</v>
      </c>
    </row>
    <row r="138" spans="1:5" ht="16">
      <c r="A138" s="4" t="s">
        <v>18</v>
      </c>
      <c r="C138" s="6" t="str" cm="1">
        <f t="array" ref="C138">INDEX($A:$A, 1 + 5*(ROW()-1))</f>
        <v>ਅਸੰਖ ਸਤੀ ਅਸੰਖ ਦਾਤਾਰ ॥</v>
      </c>
      <c r="D138" s="6" t="str" cm="1">
        <f t="array" ref="D138">INDEX($A:$A, 2 + 5*(ROW()-1))</f>
        <v>असंख सती असंख दातार ॥</v>
      </c>
      <c r="E138" s="6" t="str" cm="1">
        <f t="array" ref="E138">INDEX($A:$A, 4 + 5*(ROW()-1))</f>
        <v>Countless the holy, countless the givers.</v>
      </c>
    </row>
    <row r="139" spans="1:5" ht="16">
      <c r="A139" s="5" t="s">
        <v>19</v>
      </c>
      <c r="C139" s="6" t="str" cm="1">
        <f t="array" ref="C139">INDEX($A:$A, 1 + 5*(ROW()-1))</f>
        <v>ਅਸੰਖ ਸੂਰ ਮੁਹ ਭਖ ਸਾਰ ॥</v>
      </c>
      <c r="D139" s="6" t="str" cm="1">
        <f t="array" ref="D139">INDEX($A:$A, 2 + 5*(ROW()-1))</f>
        <v>असंख सूर मुह भख सार ॥</v>
      </c>
      <c r="E139" s="6" t="str" cm="1">
        <f t="array" ref="E139">INDEX($A:$A, 4 + 5*(ROW()-1))</f>
        <v>Countless heroic spiritual warriors, who bear the brunt of the attack in battle (who with their mouths eat steel).</v>
      </c>
    </row>
    <row r="140" spans="1:5" ht="16">
      <c r="A140" s="1"/>
      <c r="C140" s="6" t="str" cm="1">
        <f t="array" ref="C140">INDEX($A:$A, 1 + 5*(ROW()-1))</f>
        <v>ਅਸੰਖ ਮੋਨਿ ਲਿਵ ਲਾਇ ਤਾਰ ॥</v>
      </c>
      <c r="D140" s="6" t="str" cm="1">
        <f t="array" ref="D140">INDEX($A:$A, 2 + 5*(ROW()-1))</f>
        <v>असंख मोनि लिव लाइ तार ॥</v>
      </c>
      <c r="E140" s="6" t="str" cm="1">
        <f t="array" ref="E140">INDEX($A:$A, 4 + 5*(ROW()-1))</f>
        <v>Countless silent sages, vibrating the String of His Love.</v>
      </c>
    </row>
    <row r="141" spans="1:5" ht="17">
      <c r="A141" s="2" t="s">
        <v>20</v>
      </c>
      <c r="C141" s="6" t="str" cm="1">
        <f t="array" ref="C141">INDEX($A:$A, 1 + 5*(ROW()-1))</f>
        <v>ਕੁਦਰਤਿ ਕਵਣ ਕਹਾ ਵੀਚਾਰੁ ॥</v>
      </c>
      <c r="D141" s="6" t="str" cm="1">
        <f t="array" ref="D141">INDEX($A:$A, 2 + 5*(ROW()-1))</f>
        <v>कुदरति कवण कहा वीचारु ॥</v>
      </c>
      <c r="E141" s="6" t="str" cm="1">
        <f t="array" ref="E141">INDEX($A:$A, 4 + 5*(ROW()-1))</f>
        <v>How can Your Creative Potency be described?</v>
      </c>
    </row>
    <row r="142" spans="1:5" ht="17">
      <c r="A142" s="3" t="s">
        <v>21</v>
      </c>
      <c r="C142" s="6" t="str" cm="1">
        <f t="array" ref="C142">INDEX($A:$A, 1 + 5*(ROW()-1))</f>
        <v>ਵਾਰਿਆ ਨ ਜਾਵਾ ਏਕ ਵਾਰ ॥</v>
      </c>
      <c r="D142" s="6" t="str" cm="1">
        <f t="array" ref="D142">INDEX($A:$A, 2 + 5*(ROW()-1))</f>
        <v>वारिआ न जावा एक वार ॥</v>
      </c>
      <c r="E142" s="6" t="str" cm="1">
        <f t="array" ref="E142">INDEX($A:$A, 4 + 5*(ROW()-1))</f>
        <v>I cannot even once be a sacrifice to You.</v>
      </c>
    </row>
    <row r="143" spans="1:5" ht="16">
      <c r="A143" s="4" t="s">
        <v>22</v>
      </c>
      <c r="C143" s="6" t="str" cm="1">
        <f t="array" ref="C143">INDEX($A:$A, 1 + 5*(ROW()-1))</f>
        <v>ਜੋ ਤੁਧੁ ਭਾਵੈ ਸਾਈ ਭਲੀ ਕਾਰ ॥</v>
      </c>
      <c r="D143" s="6" t="str" cm="1">
        <f t="array" ref="D143">INDEX($A:$A, 2 + 5*(ROW()-1))</f>
        <v>जो तुधु भावै साई भली कार ॥</v>
      </c>
      <c r="E143" s="6" t="str" cm="1">
        <f t="array" ref="E143">INDEX($A:$A, 4 + 5*(ROW()-1))</f>
        <v>Whatever pleases You is the only good done,</v>
      </c>
    </row>
    <row r="144" spans="1:5" ht="16">
      <c r="A144" s="5" t="s">
        <v>23</v>
      </c>
      <c r="C144" s="6" t="str" cm="1">
        <f t="array" ref="C144">INDEX($A:$A, 1 + 5*(ROW()-1))</f>
        <v>ਤੂ ਸਦਾ ਸਲਾਮਤਿ ਨਿਰੰਕਾਰ ॥੧੭॥</v>
      </c>
      <c r="D144" s="6" t="str" cm="1">
        <f t="array" ref="D144">INDEX($A:$A, 2 + 5*(ROW()-1))</f>
        <v>तू सदा सलामति निरंकार ॥१७॥</v>
      </c>
      <c r="E144" s="6" t="str" cm="1">
        <f t="array" ref="E144">INDEX($A:$A, 4 + 5*(ROW()-1))</f>
        <v>You, Eternal and Formless One. ||17||</v>
      </c>
    </row>
    <row r="145" spans="1:5" ht="16">
      <c r="A145" s="1"/>
      <c r="C145" s="6" t="str" cm="1">
        <f t="array" ref="C145">INDEX($A:$A, 1 + 5*(ROW()-1))</f>
        <v>ਅਸੰਖ ਮੂਰਖ ਅੰਧ ਘੋਰ ॥</v>
      </c>
      <c r="D145" s="6" t="str" cm="1">
        <f t="array" ref="D145">INDEX($A:$A, 2 + 5*(ROW()-1))</f>
        <v>असंख मूरख अंध घोर ॥</v>
      </c>
      <c r="E145" s="6" t="str" cm="1">
        <f t="array" ref="E145">INDEX($A:$A, 4 + 5*(ROW()-1))</f>
        <v>Countless fools, blinded by ignorance.</v>
      </c>
    </row>
    <row r="146" spans="1:5" ht="17">
      <c r="A146" s="2" t="s">
        <v>24</v>
      </c>
      <c r="C146" s="6" t="str" cm="1">
        <f t="array" ref="C146">INDEX($A:$A, 1 + 5*(ROW()-1))</f>
        <v>ਅਸੰਖ ਚੋਰ ਹਰਾਮਖੋਰ ॥</v>
      </c>
      <c r="D146" s="6" t="str" cm="1">
        <f t="array" ref="D146">INDEX($A:$A, 2 + 5*(ROW()-1))</f>
        <v>असंख चोर हरामखोर ॥</v>
      </c>
      <c r="E146" s="6" t="str" cm="1">
        <f t="array" ref="E146">INDEX($A:$A, 4 + 5*(ROW()-1))</f>
        <v>Countless thieves and embezzlers.</v>
      </c>
    </row>
    <row r="147" spans="1:5" ht="17">
      <c r="A147" s="3" t="s">
        <v>25</v>
      </c>
      <c r="C147" s="6" t="str" cm="1">
        <f t="array" ref="C147">INDEX($A:$A, 1 + 5*(ROW()-1))</f>
        <v>ਅਸੰਖ ਅਮਰ ਕਰਿ ਜਾਹਿ ਜੋਰ ॥</v>
      </c>
      <c r="D147" s="6" t="str" cm="1">
        <f t="array" ref="D147">INDEX($A:$A, 2 + 5*(ROW()-1))</f>
        <v>असंख अमर करि जाहि जोर ॥</v>
      </c>
      <c r="E147" s="6" t="str" cm="1">
        <f t="array" ref="E147">INDEX($A:$A, 4 + 5*(ROW()-1))</f>
        <v>Countless impose their will by force.</v>
      </c>
    </row>
    <row r="148" spans="1:5" ht="16">
      <c r="A148" s="4" t="s">
        <v>26</v>
      </c>
      <c r="C148" s="6" t="str" cm="1">
        <f t="array" ref="C148">INDEX($A:$A, 1 + 5*(ROW()-1))</f>
        <v>ਅਸੰਖ ਗਲਵਢ ਹਤਿਆ ਕਮਾਹਿ ॥</v>
      </c>
      <c r="D148" s="6" t="str" cm="1">
        <f t="array" ref="D148">INDEX($A:$A, 2 + 5*(ROW()-1))</f>
        <v>असंख गलवढ हतिआ कमाहि ॥</v>
      </c>
      <c r="E148" s="6" t="str" cm="1">
        <f t="array" ref="E148">INDEX($A:$A, 4 + 5*(ROW()-1))</f>
        <v>Countless cut-throats and ruthless killers.</v>
      </c>
    </row>
    <row r="149" spans="1:5" ht="16">
      <c r="A149" s="5" t="s">
        <v>27</v>
      </c>
      <c r="C149" s="6" t="str" cm="1">
        <f t="array" ref="C149">INDEX($A:$A, 1 + 5*(ROW()-1))</f>
        <v>ਅਸੰਖ ਪਾਪੀ ਪਾਪੁ ਕਰਿ ਜਾਹਿ ॥</v>
      </c>
      <c r="D149" s="6" t="str" cm="1">
        <f t="array" ref="D149">INDEX($A:$A, 2 + 5*(ROW()-1))</f>
        <v>असंख पापी पापु करि जाहि ॥</v>
      </c>
      <c r="E149" s="6" t="str" cm="1">
        <f t="array" ref="E149">INDEX($A:$A, 4 + 5*(ROW()-1))</f>
        <v>Countless sinners who keep on sinning.</v>
      </c>
    </row>
    <row r="150" spans="1:5" ht="16">
      <c r="A150" s="1"/>
      <c r="C150" s="6" t="str" cm="1">
        <f t="array" ref="C150">INDEX($A:$A, 1 + 5*(ROW()-1))</f>
        <v>ਅਸੰਖ ਕੂੜਿਆਰ ਕੂੜੇ ਫਿਰਾਹਿ ॥</v>
      </c>
      <c r="D150" s="6" t="str" cm="1">
        <f t="array" ref="D150">INDEX($A:$A, 2 + 5*(ROW()-1))</f>
        <v>असंख कूड़िआर कूड़े फिराहि ॥</v>
      </c>
      <c r="E150" s="6" t="str" cm="1">
        <f t="array" ref="E150">INDEX($A:$A, 4 + 5*(ROW()-1))</f>
        <v>Countless liars, wandering lost in their lies.</v>
      </c>
    </row>
    <row r="151" spans="1:5" ht="17">
      <c r="A151" s="2" t="s">
        <v>28</v>
      </c>
      <c r="C151" s="6" t="str" cm="1">
        <f t="array" ref="C151">INDEX($A:$A, 1 + 5*(ROW()-1))</f>
        <v>ਅਸੰਖ ਮਲੇਛ ਮਲੁ ਭਖਿ ਖਾਹਿ ॥</v>
      </c>
      <c r="D151" s="6" t="str" cm="1">
        <f t="array" ref="D151">INDEX($A:$A, 2 + 5*(ROW()-1))</f>
        <v>असंख मलेछ मलु भखि खाहि ॥</v>
      </c>
      <c r="E151" s="6" t="str" cm="1">
        <f t="array" ref="E151">INDEX($A:$A, 4 + 5*(ROW()-1))</f>
        <v>Countless wretches, eating filth as their ration.</v>
      </c>
    </row>
    <row r="152" spans="1:5" ht="17">
      <c r="A152" s="3" t="s">
        <v>29</v>
      </c>
      <c r="C152" s="6" t="str" cm="1">
        <f t="array" ref="C152">INDEX($A:$A, 1 + 5*(ROW()-1))</f>
        <v>ਅਸੰਖ ਨਿੰਦਕ ਸਿਰਿ ਕਰਹਿ ਭਾਰੁ ॥</v>
      </c>
      <c r="D152" s="6" t="str" cm="1">
        <f t="array" ref="D152">INDEX($A:$A, 2 + 5*(ROW()-1))</f>
        <v>असंख निंदक सिरि करहि भारु ॥</v>
      </c>
      <c r="E152" s="6" t="str" cm="1">
        <f t="array" ref="E152">INDEX($A:$A, 4 + 5*(ROW()-1))</f>
        <v>Countless slanderers, carrying the weight of their stupid mistakes on their heads.</v>
      </c>
    </row>
    <row r="153" spans="1:5" ht="16">
      <c r="A153" s="4" t="s">
        <v>30</v>
      </c>
      <c r="C153" s="6" t="str" cm="1">
        <f t="array" ref="C153">INDEX($A:$A, 1 + 5*(ROW()-1))</f>
        <v>ਨਾਨਕੁ ਨੀਚੁ ਕਹੈ ਵੀਚਾਰੁ ॥</v>
      </c>
      <c r="D153" s="6" t="str" cm="1">
        <f t="array" ref="D153">INDEX($A:$A, 2 + 5*(ROW()-1))</f>
        <v>नानकु नीचु कहै वीचारु ॥</v>
      </c>
      <c r="E153" s="6" t="str" cm="1">
        <f t="array" ref="E153">INDEX($A:$A, 4 + 5*(ROW()-1))</f>
        <v>Nanak describes the state of the lowly.</v>
      </c>
    </row>
    <row r="154" spans="1:5" ht="16">
      <c r="A154" s="5" t="s">
        <v>31</v>
      </c>
      <c r="C154" s="6" t="str" cm="1">
        <f t="array" ref="C154">INDEX($A:$A, 1 + 5*(ROW()-1))</f>
        <v>ਵਾਰਿਆ ਨ ਜਾਵਾ ਏਕ ਵਾਰ ॥</v>
      </c>
      <c r="D154" s="6" t="str" cm="1">
        <f t="array" ref="D154">INDEX($A:$A, 2 + 5*(ROW()-1))</f>
        <v>वारिआ न जावा एक वार ॥</v>
      </c>
      <c r="E154" s="6" t="str" cm="1">
        <f t="array" ref="E154">INDEX($A:$A, 4 + 5*(ROW()-1))</f>
        <v>I cannot even once be a sacrifice to You.</v>
      </c>
    </row>
    <row r="155" spans="1:5" ht="16">
      <c r="A155" s="1"/>
      <c r="C155" s="6" t="str" cm="1">
        <f t="array" ref="C155">INDEX($A:$A, 1 + 5*(ROW()-1))</f>
        <v>ਜੋ ਤੁਧੁ ਭਾਵੈ ਸਾਈ ਭਲੀ ਕਾਰ ॥</v>
      </c>
      <c r="D155" s="6" t="str" cm="1">
        <f t="array" ref="D155">INDEX($A:$A, 2 + 5*(ROW()-1))</f>
        <v>जो तुधु भावै साई भली कार ॥</v>
      </c>
      <c r="E155" s="6" t="str" cm="1">
        <f t="array" ref="E155">INDEX($A:$A, 4 + 5*(ROW()-1))</f>
        <v>Whatever pleases You is the only good done,</v>
      </c>
    </row>
    <row r="156" spans="1:5" ht="17">
      <c r="A156" s="2" t="s">
        <v>32</v>
      </c>
      <c r="C156" s="6" t="str" cm="1">
        <f t="array" ref="C156">INDEX($A:$A, 1 + 5*(ROW()-1))</f>
        <v>ਤੂ ਸਦਾ ਸਲਾਮਤਿ ਨਿਰੰਕਾਰ ॥੧੮॥</v>
      </c>
      <c r="D156" s="6" t="str" cm="1">
        <f t="array" ref="D156">INDEX($A:$A, 2 + 5*(ROW()-1))</f>
        <v>तू सदा सलामति निरंकार ॥१८॥</v>
      </c>
      <c r="E156" s="6" t="str" cm="1">
        <f t="array" ref="E156">INDEX($A:$A, 4 + 5*(ROW()-1))</f>
        <v>You, Eternal and Formless One. ||18||</v>
      </c>
    </row>
    <row r="157" spans="1:5" ht="17">
      <c r="A157" s="3" t="s">
        <v>33</v>
      </c>
      <c r="C157" s="6" t="str" cm="1">
        <f t="array" ref="C157">INDEX($A:$A, 1 + 5*(ROW()-1))</f>
        <v>ਅਸੰਖ ਨਾਵ ਅਸੰਖ ਥਾਵ ॥</v>
      </c>
      <c r="D157" s="6" t="str" cm="1">
        <f t="array" ref="D157">INDEX($A:$A, 2 + 5*(ROW()-1))</f>
        <v>असंख नाव असंख थाव ॥</v>
      </c>
      <c r="E157" s="6" t="str" cm="1">
        <f t="array" ref="E157">INDEX($A:$A, 4 + 5*(ROW()-1))</f>
        <v>Countless names, countless places.</v>
      </c>
    </row>
    <row r="158" spans="1:5" ht="16">
      <c r="A158" s="4" t="s">
        <v>34</v>
      </c>
      <c r="C158" s="6" t="str" cm="1">
        <f t="array" ref="C158">INDEX($A:$A, 1 + 5*(ROW()-1))</f>
        <v>ਅਗੰਮ ਅਗੰਮ ਅਸੰਖ ਲੋਅ ॥</v>
      </c>
      <c r="D158" s="6" t="str" cm="1">
        <f t="array" ref="D158">INDEX($A:$A, 2 + 5*(ROW()-1))</f>
        <v>अगम अगम असंख लोअ ॥</v>
      </c>
      <c r="E158" s="6" t="str" cm="1">
        <f t="array" ref="E158">INDEX($A:$A, 4 + 5*(ROW()-1))</f>
        <v>Inaccessible, unapproachable, countless celestial realms.</v>
      </c>
    </row>
    <row r="159" spans="1:5" ht="32">
      <c r="A159" s="5" t="s">
        <v>35</v>
      </c>
      <c r="C159" s="6" t="str" cm="1">
        <f t="array" ref="C159">INDEX($A:$A, 1 + 5*(ROW()-1))</f>
        <v>ਅਸੰਖ ਕਹਹਿ ਸਿਰਿ ਭਾਰੁ ਹੋਇ ॥</v>
      </c>
      <c r="D159" s="6" t="str" cm="1">
        <f t="array" ref="D159">INDEX($A:$A, 2 + 5*(ROW()-1))</f>
        <v>असंख कहहि सिरि भारु होइ ॥</v>
      </c>
      <c r="E159" s="6" t="str" cm="1">
        <f t="array" ref="E159">INDEX($A:$A, 4 + 5*(ROW()-1))</f>
        <v>Even to call them countless is to carry the weight on your head.</v>
      </c>
    </row>
    <row r="160" spans="1:5" ht="16">
      <c r="A160" s="1"/>
      <c r="C160" s="6" t="str" cm="1">
        <f t="array" ref="C160">INDEX($A:$A, 1 + 5*(ROW()-1))</f>
        <v>ਅਖਰੀ ਨਾਮੁ ਅਖਰੀ ਸਾਲਾਹ ॥</v>
      </c>
      <c r="D160" s="6" t="str" cm="1">
        <f t="array" ref="D160">INDEX($A:$A, 2 + 5*(ROW()-1))</f>
        <v>अखरी नामु अखरी सालाह ॥</v>
      </c>
      <c r="E160" s="6" t="str" cm="1">
        <f t="array" ref="E160">INDEX($A:$A, 4 + 5*(ROW()-1))</f>
        <v>From the Word, comes the Naam; from the Word, comes Your Praise.</v>
      </c>
    </row>
    <row r="161" spans="1:5" ht="17">
      <c r="A161" s="2" t="s">
        <v>36</v>
      </c>
      <c r="C161" s="6" t="str" cm="1">
        <f t="array" ref="C161">INDEX($A:$A, 1 + 5*(ROW()-1))</f>
        <v>ਅਖਰੀ ਗਿਆਨੁ ਗੀਤ ਗੁਣ ਗਾਹ ॥</v>
      </c>
      <c r="D161" s="6" t="str" cm="1">
        <f t="array" ref="D161">INDEX($A:$A, 2 + 5*(ROW()-1))</f>
        <v>अखरी गिआनु गीत गुण गाह ॥</v>
      </c>
      <c r="E161" s="6" t="str" cm="1">
        <f t="array" ref="E161">INDEX($A:$A, 4 + 5*(ROW()-1))</f>
        <v>From the Word, comes spiritual wisdom, singing the Songs of Your Glory.</v>
      </c>
    </row>
    <row r="162" spans="1:5" ht="17">
      <c r="A162" s="3" t="s">
        <v>37</v>
      </c>
      <c r="C162" s="6" t="str" cm="1">
        <f t="array" ref="C162">INDEX($A:$A, 1 + 5*(ROW()-1))</f>
        <v>ਅਖਰੀ ਲਿਖਣੁ ਬੋਲਣੁ ਬਾਣਿ ॥</v>
      </c>
      <c r="D162" s="6" t="str" cm="1">
        <f t="array" ref="D162">INDEX($A:$A, 2 + 5*(ROW()-1))</f>
        <v>अखरी लिखणु बोलणु बाणि ॥</v>
      </c>
      <c r="E162" s="6" t="str" cm="1">
        <f t="array" ref="E162">INDEX($A:$A, 4 + 5*(ROW()-1))</f>
        <v>From the Word, come the written and spoken words and hymns.</v>
      </c>
    </row>
    <row r="163" spans="1:5" ht="16">
      <c r="A163" s="4" t="s">
        <v>38</v>
      </c>
      <c r="C163" s="6" t="str" cm="1">
        <f t="array" ref="C163">INDEX($A:$A, 1 + 5*(ROW()-1))</f>
        <v>ਅਖਰਾ ਸਿਰਿ ਸੰਜੋਗੁ ਵਖਾਣਿ ॥</v>
      </c>
      <c r="D163" s="6" t="str" cm="1">
        <f t="array" ref="D163">INDEX($A:$A, 2 + 5*(ROW()-1))</f>
        <v>अखरा सिरि संजोगु वखाणि ॥</v>
      </c>
      <c r="E163" s="6" t="str" cm="1">
        <f t="array" ref="E163">INDEX($A:$A, 4 + 5*(ROW()-1))</f>
        <v>From the Word, comes destiny, written on one's forehead.</v>
      </c>
    </row>
    <row r="164" spans="1:5" ht="32">
      <c r="A164" s="5" t="s">
        <v>39</v>
      </c>
      <c r="C164" s="6" t="str" cm="1">
        <f t="array" ref="C164">INDEX($A:$A, 1 + 5*(ROW()-1))</f>
        <v>ਜਿਨਿ ਏਹਿ ਲਿਖੇ ਤਿਸੁ ਸਿਰਿ ਨਾਹਿ ॥</v>
      </c>
      <c r="D164" s="6" t="str" cm="1">
        <f t="array" ref="D164">INDEX($A:$A, 2 + 5*(ROW()-1))</f>
        <v>जिनि एहि लिखे तिसु सिरि नाहि ॥</v>
      </c>
      <c r="E164" s="6" t="str" cm="1">
        <f t="array" ref="E164">INDEX($A:$A, 4 + 5*(ROW()-1))</f>
        <v>But the One who wrote these Words of Destiny-no words are written on His Forehead.</v>
      </c>
    </row>
    <row r="165" spans="1:5" ht="16">
      <c r="A165" s="1"/>
      <c r="C165" s="6" t="str" cm="1">
        <f t="array" ref="C165">INDEX($A:$A, 1 + 5*(ROW()-1))</f>
        <v>ਜਿਵ ਫੁਰਮਾਏ ਤਿਵ ਤਿਵ ਪਾਹਿ ॥</v>
      </c>
      <c r="D165" s="6" t="str" cm="1">
        <f t="array" ref="D165">INDEX($A:$A, 2 + 5*(ROW()-1))</f>
        <v>जिव फुरमाए तिव तिव पाहि ॥</v>
      </c>
      <c r="E165" s="6" t="str" cm="1">
        <f t="array" ref="E165">INDEX($A:$A, 4 + 5*(ROW()-1))</f>
        <v>As He ordains, so do we receive.</v>
      </c>
    </row>
    <row r="166" spans="1:5" ht="17">
      <c r="A166" s="2" t="s">
        <v>40</v>
      </c>
      <c r="C166" s="6" t="str" cm="1">
        <f t="array" ref="C166">INDEX($A:$A, 1 + 5*(ROW()-1))</f>
        <v>ਜੇਤਾ ਕੀਤਾ ਤੇਤਾ ਨਾਉ ॥</v>
      </c>
      <c r="D166" s="6" t="str" cm="1">
        <f t="array" ref="D166">INDEX($A:$A, 2 + 5*(ROW()-1))</f>
        <v>जेता कीता तेता नाउ ॥</v>
      </c>
      <c r="E166" s="6" t="str" cm="1">
        <f t="array" ref="E166">INDEX($A:$A, 4 + 5*(ROW()-1))</f>
        <v>The created universe is the manifestation of Your Name.</v>
      </c>
    </row>
    <row r="167" spans="1:5" ht="17">
      <c r="A167" s="3" t="s">
        <v>41</v>
      </c>
      <c r="C167" s="6" t="str" cm="1">
        <f t="array" ref="C167">INDEX($A:$A, 1 + 5*(ROW()-1))</f>
        <v>ਵਿਣੁ ਨਾਵੈ ਨਾਹੀ ਕੋ ਥਾਉ ॥</v>
      </c>
      <c r="D167" s="6" t="str" cm="1">
        <f t="array" ref="D167">INDEX($A:$A, 2 + 5*(ROW()-1))</f>
        <v>विणु नावै नाही को थाउ ॥</v>
      </c>
      <c r="E167" s="6" t="str" cm="1">
        <f t="array" ref="E167">INDEX($A:$A, 4 + 5*(ROW()-1))</f>
        <v>Without Your Name, there is no place at all.</v>
      </c>
    </row>
    <row r="168" spans="1:5" ht="16">
      <c r="A168" s="4" t="s">
        <v>42</v>
      </c>
      <c r="C168" s="6" t="str" cm="1">
        <f t="array" ref="C168">INDEX($A:$A, 1 + 5*(ROW()-1))</f>
        <v>ਕੁਦਰਤਿ ਕਵਣ ਕਹਾ ਵੀਚਾਰੁ ॥</v>
      </c>
      <c r="D168" s="6" t="str" cm="1">
        <f t="array" ref="D168">INDEX($A:$A, 2 + 5*(ROW()-1))</f>
        <v>कुदरति कवण कहा वीचारु ॥</v>
      </c>
      <c r="E168" s="6" t="str" cm="1">
        <f t="array" ref="E168">INDEX($A:$A, 4 + 5*(ROW()-1))</f>
        <v>How can I describe Your Creative Power?</v>
      </c>
    </row>
    <row r="169" spans="1:5" ht="16">
      <c r="A169" s="5" t="s">
        <v>43</v>
      </c>
      <c r="C169" s="6" t="str" cm="1">
        <f t="array" ref="C169">INDEX($A:$A, 1 + 5*(ROW()-1))</f>
        <v>ਵਾਰਿਆ ਨ ਜਾਵਾ ਏਕ ਵਾਰ ॥</v>
      </c>
      <c r="D169" s="6" t="str" cm="1">
        <f t="array" ref="D169">INDEX($A:$A, 2 + 5*(ROW()-1))</f>
        <v>वारिआ न जावा एक वार ॥</v>
      </c>
      <c r="E169" s="6" t="str" cm="1">
        <f t="array" ref="E169">INDEX($A:$A, 4 + 5*(ROW()-1))</f>
        <v>I cannot even once be a sacrifice to You.</v>
      </c>
    </row>
    <row r="170" spans="1:5" ht="16">
      <c r="A170" s="1"/>
      <c r="C170" s="6" t="str" cm="1">
        <f t="array" ref="C170">INDEX($A:$A, 1 + 5*(ROW()-1))</f>
        <v>ਜੋ ਤੁਧੁ ਭਾਵੈ ਸਾਈ ਭਲੀ ਕਾਰ ॥</v>
      </c>
      <c r="D170" s="6" t="str" cm="1">
        <f t="array" ref="D170">INDEX($A:$A, 2 + 5*(ROW()-1))</f>
        <v>जो तुधु भावै साई भली कार ॥</v>
      </c>
      <c r="E170" s="6" t="str" cm="1">
        <f t="array" ref="E170">INDEX($A:$A, 4 + 5*(ROW()-1))</f>
        <v>Whatever pleases You is the only good done,</v>
      </c>
    </row>
    <row r="171" spans="1:5" ht="17">
      <c r="A171" s="2" t="s">
        <v>44</v>
      </c>
      <c r="C171" s="6" t="str" cm="1">
        <f t="array" ref="C171">INDEX($A:$A, 1 + 5*(ROW()-1))</f>
        <v>ਤੂ ਸਦਾ ਸਲਾਮਤਿ ਨਿਰੰਕਾਰ ॥੧੯॥</v>
      </c>
      <c r="D171" s="6" t="str" cm="1">
        <f t="array" ref="D171">INDEX($A:$A, 2 + 5*(ROW()-1))</f>
        <v>तू सदा सलामति निरंकार ॥१९॥</v>
      </c>
      <c r="E171" s="6" t="str" cm="1">
        <f t="array" ref="E171">INDEX($A:$A, 4 + 5*(ROW()-1))</f>
        <v>You, Eternal and Formless One. ||19||</v>
      </c>
    </row>
    <row r="172" spans="1:5" ht="17">
      <c r="A172" s="3" t="s">
        <v>45</v>
      </c>
      <c r="C172" s="6" t="str" cm="1">
        <f t="array" ref="C172">INDEX($A:$A, 1 + 5*(ROW()-1))</f>
        <v>ਭਰੀਐ ਹਥੁ ਪੈਰੁ ਤਨੁ ਦੇਹ ॥</v>
      </c>
      <c r="D172" s="6" t="str" cm="1">
        <f t="array" ref="D172">INDEX($A:$A, 2 + 5*(ROW()-1))</f>
        <v>भरीऐ हथु पैरु तनु देह ॥</v>
      </c>
      <c r="E172" s="6" t="str" cm="1">
        <f t="array" ref="E172">INDEX($A:$A, 4 + 5*(ROW()-1))</f>
        <v>When the hands and the feet and the body are dirty,</v>
      </c>
    </row>
    <row r="173" spans="1:5" ht="16">
      <c r="A173" s="4" t="s">
        <v>46</v>
      </c>
      <c r="C173" s="6" t="str" cm="1">
        <f t="array" ref="C173">INDEX($A:$A, 1 + 5*(ROW()-1))</f>
        <v>ਪਾਣੀ ਧੋਤੈ ਉਤਰਸੁ ਖੇਹ ॥</v>
      </c>
      <c r="D173" s="6" t="str" cm="1">
        <f t="array" ref="D173">INDEX($A:$A, 2 + 5*(ROW()-1))</f>
        <v>पाणी धोतै उतरसु खेह ॥</v>
      </c>
      <c r="E173" s="6" t="str" cm="1">
        <f t="array" ref="E173">INDEX($A:$A, 4 + 5*(ROW()-1))</f>
        <v>water can wash away the dirt.</v>
      </c>
    </row>
    <row r="174" spans="1:5" ht="32">
      <c r="A174" s="5" t="s">
        <v>47</v>
      </c>
      <c r="C174" s="6" t="str" cm="1">
        <f t="array" ref="C174">INDEX($A:$A, 1 + 5*(ROW()-1))</f>
        <v>ਮੂਤ ਪਲੀਤੀ ਕਪੜੁ ਹੋਇ ॥</v>
      </c>
      <c r="D174" s="6" t="str" cm="1">
        <f t="array" ref="D174">INDEX($A:$A, 2 + 5*(ROW()-1))</f>
        <v>मूत पलीती कपड़ु होइ ॥</v>
      </c>
      <c r="E174" s="6" t="str" cm="1">
        <f t="array" ref="E174">INDEX($A:$A, 4 + 5*(ROW()-1))</f>
        <v>When the clothes are soiled and stained by urine,</v>
      </c>
    </row>
    <row r="175" spans="1:5" ht="16">
      <c r="A175" s="1"/>
      <c r="C175" s="6" t="str" cm="1">
        <f t="array" ref="C175">INDEX($A:$A, 1 + 5*(ROW()-1))</f>
        <v>ਦੇ ਸਾਬੂਣੁ ਲਈਐ ਓਹੁ ਧੋਇ ॥</v>
      </c>
      <c r="D175" s="6" t="str" cm="1">
        <f t="array" ref="D175">INDEX($A:$A, 2 + 5*(ROW()-1))</f>
        <v>दे साबूणु लईऐ ओहु धोइ ॥</v>
      </c>
      <c r="E175" s="6" t="str" cm="1">
        <f t="array" ref="E175">INDEX($A:$A, 4 + 5*(ROW()-1))</f>
        <v>soap can wash them clean.</v>
      </c>
    </row>
    <row r="176" spans="1:5" ht="17">
      <c r="A176" s="2" t="s">
        <v>48</v>
      </c>
      <c r="C176" s="6" t="str" cm="1">
        <f t="array" ref="C176">INDEX($A:$A, 1 + 5*(ROW()-1))</f>
        <v>ਭਰੀਐ ਮਤਿ ਪਾਪਾ ਕੈ ਸੰਗਿ ॥</v>
      </c>
      <c r="D176" s="6" t="str" cm="1">
        <f t="array" ref="D176">INDEX($A:$A, 2 + 5*(ROW()-1))</f>
        <v>भरीऐ मति पापा कै संगि ॥</v>
      </c>
      <c r="E176" s="6" t="str" cm="1">
        <f t="array" ref="E176">INDEX($A:$A, 4 + 5*(ROW()-1))</f>
        <v>But when the intellect is stained and polluted by sin,</v>
      </c>
    </row>
    <row r="177" spans="1:5" ht="17">
      <c r="A177" s="3" t="s">
        <v>49</v>
      </c>
      <c r="C177" s="6" t="str" cm="1">
        <f t="array" ref="C177">INDEX($A:$A, 1 + 5*(ROW()-1))</f>
        <v>ਓਹੁ ਧੋਪੈ ਨਾਵੈ ਕੈ ਰੰਗਿ ॥</v>
      </c>
      <c r="D177" s="6" t="str" cm="1">
        <f t="array" ref="D177">INDEX($A:$A, 2 + 5*(ROW()-1))</f>
        <v>ओहु धोपै नावै कै रंगि ॥</v>
      </c>
      <c r="E177" s="6" t="str" cm="1">
        <f t="array" ref="E177">INDEX($A:$A, 4 + 5*(ROW()-1))</f>
        <v>it can only be cleansed by the Love of the Name.</v>
      </c>
    </row>
    <row r="178" spans="1:5" ht="16">
      <c r="A178" s="4" t="s">
        <v>50</v>
      </c>
      <c r="C178" s="6" t="str" cm="1">
        <f t="array" ref="C178">INDEX($A:$A, 1 + 5*(ROW()-1))</f>
        <v>ਪੁੰਨੀ ਪਾਪੀ ਆਖਣੁ ਨਾਹਿ ॥</v>
      </c>
      <c r="D178" s="6" t="str" cm="1">
        <f t="array" ref="D178">INDEX($A:$A, 2 + 5*(ROW()-1))</f>
        <v>पुंनी पापी आखणु नाहि ॥</v>
      </c>
      <c r="E178" s="6" t="str" cm="1">
        <f t="array" ref="E178">INDEX($A:$A, 4 + 5*(ROW()-1))</f>
        <v>Virtue and vice do not come by mere words;</v>
      </c>
    </row>
    <row r="179" spans="1:5" ht="32">
      <c r="A179" s="5" t="s">
        <v>51</v>
      </c>
      <c r="C179" s="6" t="str" cm="1">
        <f t="array" ref="C179">INDEX($A:$A, 1 + 5*(ROW()-1))</f>
        <v>ਕਰਿ ਕਰਿ ਕਰਣਾ ਲਿਖਿ ਲੈ ਜਾਹੁ ॥</v>
      </c>
      <c r="D179" s="6" t="str" cm="1">
        <f t="array" ref="D179">INDEX($A:$A, 2 + 5*(ROW()-1))</f>
        <v>करि करि करणा लिखि लै जाहु ॥</v>
      </c>
      <c r="E179" s="6" t="str" cm="1">
        <f t="array" ref="E179">INDEX($A:$A, 4 + 5*(ROW()-1))</f>
        <v>actions repeated, over and over again, are engraved on the soul.</v>
      </c>
    </row>
    <row r="180" spans="1:5" ht="16">
      <c r="A180" s="1"/>
      <c r="C180" s="6" t="str" cm="1">
        <f t="array" ref="C180">INDEX($A:$A, 1 + 5*(ROW()-1))</f>
        <v>ਆਪੇ ਬੀਜਿ ਆਪੇ ਹੀ ਖਾਹੁ ॥</v>
      </c>
      <c r="D180" s="6" t="str" cm="1">
        <f t="array" ref="D180">INDEX($A:$A, 2 + 5*(ROW()-1))</f>
        <v>आपे बीजि आपे ही खाहु ॥</v>
      </c>
      <c r="E180" s="6" t="str" cm="1">
        <f t="array" ref="E180">INDEX($A:$A, 4 + 5*(ROW()-1))</f>
        <v>You shall harvest what you plant.</v>
      </c>
    </row>
    <row r="181" spans="1:5" ht="17">
      <c r="A181" s="2" t="s">
        <v>52</v>
      </c>
      <c r="C181" s="6" t="str" cm="1">
        <f t="array" ref="C181">INDEX($A:$A, 1 + 5*(ROW()-1))</f>
        <v>ਨਾਨਕ ਹੁਕਮੀ ਆਵਹੁ ਜਾਹੁ ॥੨੦॥</v>
      </c>
      <c r="D181" s="6" t="str" cm="1">
        <f t="array" ref="D181">INDEX($A:$A, 2 + 5*(ROW()-1))</f>
        <v>नानक हुकमी आवहु जाहु ॥२०॥</v>
      </c>
      <c r="E181" s="6" t="str" cm="1">
        <f t="array" ref="E181">INDEX($A:$A, 4 + 5*(ROW()-1))</f>
        <v>O Nanak, by the Hukam of God's Command, we come and go in reincarnation. ||20||</v>
      </c>
    </row>
    <row r="182" spans="1:5" ht="17">
      <c r="A182" s="3" t="s">
        <v>53</v>
      </c>
      <c r="C182" s="6" t="str" cm="1">
        <f t="array" ref="C182">INDEX($A:$A, 1 + 5*(ROW()-1))</f>
        <v>ਤੀਰਥੁ ਤਪੁ ਦਇਆ ਦਤੁ ਦਾਨੁ ॥</v>
      </c>
      <c r="D182" s="6" t="str" cm="1">
        <f t="array" ref="D182">INDEX($A:$A, 2 + 5*(ROW()-1))</f>
        <v>तीरथु तपु दइआ दतु दानु ॥</v>
      </c>
      <c r="E182" s="6" t="str" cm="1">
        <f t="array" ref="E182">INDEX($A:$A, 4 + 5*(ROW()-1))</f>
        <v>Pilgrimages, austere discipline, compassion and charity -</v>
      </c>
    </row>
    <row r="183" spans="1:5" ht="16">
      <c r="A183" s="4" t="s">
        <v>54</v>
      </c>
      <c r="C183" s="6" t="str" cm="1">
        <f t="array" ref="C183">INDEX($A:$A, 1 + 5*(ROW()-1))</f>
        <v>ਜੇ ਕੋ ਪਾਵੈ ਤਿਲ ਕਾ ਮਾਨੁ ॥</v>
      </c>
      <c r="D183" s="6" t="str" cm="1">
        <f t="array" ref="D183">INDEX($A:$A, 2 + 5*(ROW()-1))</f>
        <v>जे को पावै तिल का मानु ॥</v>
      </c>
      <c r="E183" s="6" t="str" cm="1">
        <f t="array" ref="E183">INDEX($A:$A, 4 + 5*(ROW()-1))</f>
        <v>these, by themselves, bring only an iota of merit.</v>
      </c>
    </row>
    <row r="184" spans="1:5" ht="16">
      <c r="A184" s="5" t="s">
        <v>55</v>
      </c>
      <c r="C184" s="6" t="str" cm="1">
        <f t="array" ref="C184">INDEX($A:$A, 1 + 5*(ROW()-1))</f>
        <v>ਸੁਣਿਆ ਮੰਨਿਆ ਮਨਿ ਕੀਤਾ ਭਾਉ ॥</v>
      </c>
      <c r="D184" s="6" t="str" cm="1">
        <f t="array" ref="D184">INDEX($A:$A, 2 + 5*(ROW()-1))</f>
        <v>सुणिआ मंनिआ मनि कीता भाउ ॥</v>
      </c>
      <c r="E184" s="6" t="str" cm="1">
        <f t="array" ref="E184">INDEX($A:$A, 4 + 5*(ROW()-1))</f>
        <v>Listening and believing with love and humility in your mind,</v>
      </c>
    </row>
    <row r="185" spans="1:5" ht="16">
      <c r="A185" s="1"/>
      <c r="C185" s="6" t="str" cm="1">
        <f t="array" ref="C185">INDEX($A:$A, 1 + 5*(ROW()-1))</f>
        <v>ਅੰਤਰਗਤਿ ਤੀਰਥਿ ਮਲਿ ਨਾਉ ॥</v>
      </c>
      <c r="D185" s="6" t="str" cm="1">
        <f t="array" ref="D185">INDEX($A:$A, 2 + 5*(ROW()-1))</f>
        <v>अंतरगति तीरथि मलि नाउ ॥</v>
      </c>
      <c r="E185" s="6" t="str" cm="1">
        <f t="array" ref="E185">INDEX($A:$A, 4 + 5*(ROW()-1))</f>
        <v>cleanse yourself with the Name, at the sacred shrine deep within.</v>
      </c>
    </row>
    <row r="186" spans="1:5" ht="17">
      <c r="A186" s="2" t="s">
        <v>56</v>
      </c>
      <c r="C186" s="6" t="str" cm="1">
        <f t="array" ref="C186">INDEX($A:$A, 1 + 5*(ROW()-1))</f>
        <v>ਸਭਿ ਗੁਣ ਤੇਰੇ ਮੈ ਨਾਹੀ ਕੋਇ ॥</v>
      </c>
      <c r="D186" s="6" t="str" cm="1">
        <f t="array" ref="D186">INDEX($A:$A, 2 + 5*(ROW()-1))</f>
        <v>सभि गुण तेरे मै नाही कोइ ॥</v>
      </c>
      <c r="E186" s="6" t="str" cm="1">
        <f t="array" ref="E186">INDEX($A:$A, 4 + 5*(ROW()-1))</f>
        <v>All virtues are Yours, Lord, I have none at all.</v>
      </c>
    </row>
    <row r="187" spans="1:5" ht="17">
      <c r="A187" s="3" t="s">
        <v>57</v>
      </c>
      <c r="C187" s="6" t="str" cm="1">
        <f t="array" ref="C187">INDEX($A:$A, 1 + 5*(ROW()-1))</f>
        <v>ਵਿਣੁ ਗੁਣ ਕੀਤੇ ਭਗਤਿ ਨ ਹੋਇ ॥</v>
      </c>
      <c r="D187" s="6" t="str" cm="1">
        <f t="array" ref="D187">INDEX($A:$A, 2 + 5*(ROW()-1))</f>
        <v>विणु गुण कीते भगति न होइ ॥</v>
      </c>
      <c r="E187" s="6" t="str" cm="1">
        <f t="array" ref="E187">INDEX($A:$A, 4 + 5*(ROW()-1))</f>
        <v>Without virtue, there is no devotional worship.</v>
      </c>
    </row>
    <row r="188" spans="1:5" ht="16">
      <c r="A188" s="4" t="s">
        <v>58</v>
      </c>
      <c r="C188" s="6" t="str" cm="1">
        <f t="array" ref="C188">INDEX($A:$A, 1 + 5*(ROW()-1))</f>
        <v>ਸੁਅਸਤਿ ਆਥਿ ਬਾਣੀ ਬਰਮਾਉ ॥</v>
      </c>
      <c r="D188" s="6" t="str" cm="1">
        <f t="array" ref="D188">INDEX($A:$A, 2 + 5*(ROW()-1))</f>
        <v>सुअसति आथि बाणी बरमाउ ॥</v>
      </c>
      <c r="E188" s="6" t="str" cm="1">
        <f t="array" ref="E188">INDEX($A:$A, 4 + 5*(ROW()-1))</f>
        <v>I bow to the Lord of the World, to His Word, to Brahma the Creator.</v>
      </c>
    </row>
    <row r="189" spans="1:5" ht="16">
      <c r="A189" s="5" t="s">
        <v>59</v>
      </c>
      <c r="C189" s="6" t="str" cm="1">
        <f t="array" ref="C189">INDEX($A:$A, 1 + 5*(ROW()-1))</f>
        <v>ਸਤਿ ਸੁਹਾਣੁ ਸਦਾ ਮਨਿ ਚਾਉ ॥</v>
      </c>
      <c r="D189" s="6" t="str" cm="1">
        <f t="array" ref="D189">INDEX($A:$A, 2 + 5*(ROW()-1))</f>
        <v>सति सुहाणु सदा मनि चाउ ॥</v>
      </c>
      <c r="E189" s="6" t="str" cm="1">
        <f t="array" ref="E189">INDEX($A:$A, 4 + 5*(ROW()-1))</f>
        <v>He is Beautiful, True and Eternally Joyful.</v>
      </c>
    </row>
    <row r="190" spans="1:5" ht="16">
      <c r="A190" s="1"/>
      <c r="C190" s="6" t="str" cm="1">
        <f t="array" ref="C190">INDEX($A:$A, 1 + 5*(ROW()-1))</f>
        <v>ਕਵਣੁ ਸੁ ਵੇਲਾ ਵਖਤੁ ਕਵਣੁ ਕਵਣ ਥਿਤਿ ਕਵਣੁ ਵਾਰੁ ॥</v>
      </c>
      <c r="D190" s="6" t="str" cm="1">
        <f t="array" ref="D190">INDEX($A:$A, 2 + 5*(ROW()-1))</f>
        <v>कवणु सु वेला वखतु कवणु कवण थिति कवणु वारु ॥</v>
      </c>
      <c r="E190" s="6" t="str" cm="1">
        <f t="array" ref="E190">INDEX($A:$A, 4 + 5*(ROW()-1))</f>
        <v>What was that time, and what was that moment? What was that day, and what was that date?</v>
      </c>
    </row>
    <row r="191" spans="1:5" ht="17">
      <c r="A191" s="2" t="s">
        <v>60</v>
      </c>
      <c r="C191" s="6" t="str" cm="1">
        <f t="array" ref="C191">INDEX($A:$A, 1 + 5*(ROW()-1))</f>
        <v>ਕਵਣਿ ਸਿ ਰੁਤੀ ਮਾਹੁ ਕਵਣੁ ਜਿਤੁ ਹੋਆ ਆਕਾਰੁ ॥</v>
      </c>
      <c r="D191" s="6" t="str" cm="1">
        <f t="array" ref="D191">INDEX($A:$A, 2 + 5*(ROW()-1))</f>
        <v>कवणि सि रुती माहु कवणु जितु होआ आकारु ॥</v>
      </c>
      <c r="E191" s="6" t="str" cm="1">
        <f t="array" ref="E191">INDEX($A:$A, 4 + 5*(ROW()-1))</f>
        <v>What was that season, and what was that month, when the Universe was created?</v>
      </c>
    </row>
    <row r="192" spans="1:5" ht="17">
      <c r="A192" s="3" t="s">
        <v>61</v>
      </c>
      <c r="C192" s="6" t="str" cm="1">
        <f t="array" ref="C192">INDEX($A:$A, 1 + 5*(ROW()-1))</f>
        <v>ਵੇਲ ਨ ਪਾਈਆ ਪੰਡਤੀ ਜਿ ਹੋਵੈ ਲੇਖੁ ਪੁਰਾਣੁ ॥</v>
      </c>
      <c r="D192" s="6" t="str" cm="1">
        <f t="array" ref="D192">INDEX($A:$A, 2 + 5*(ROW()-1))</f>
        <v>वेल न पाईआ पंडती जि होवै लेखु पुराणु ॥</v>
      </c>
      <c r="E192" s="6" t="str" cm="1">
        <f t="array" ref="E192">INDEX($A:$A, 4 + 5*(ROW()-1))</f>
        <v>The Pandits, the religious scholars, cannot find that time, even if it is written in the Puraanas.</v>
      </c>
    </row>
    <row r="193" spans="1:5" ht="16">
      <c r="A193" s="4" t="s">
        <v>62</v>
      </c>
      <c r="C193" s="6" t="str" cm="1">
        <f t="array" ref="C193">INDEX($A:$A, 1 + 5*(ROW()-1))</f>
        <v>ਵਖਤੁ ਨ ਪਾਇਓ ਕਾਦੀਆ ਜਿ ਲਿਖਨਿ ਲੇਖੁ ਕੁਰਾਣੁ ॥</v>
      </c>
      <c r="D193" s="6" t="str" cm="1">
        <f t="array" ref="D193">INDEX($A:$A, 2 + 5*(ROW()-1))</f>
        <v>वखतु न पाइओ कादीआ जि लिखनि लेखु कुराणु ॥</v>
      </c>
      <c r="E193" s="6" t="str" cm="1">
        <f t="array" ref="E193">INDEX($A:$A, 4 + 5*(ROW()-1))</f>
        <v>That time is not known to the Qazis, who study the Koran.</v>
      </c>
    </row>
    <row r="194" spans="1:5" ht="16">
      <c r="A194" s="5" t="s">
        <v>63</v>
      </c>
      <c r="C194" s="6" t="str" cm="1">
        <f t="array" ref="C194">INDEX($A:$A, 1 + 5*(ROW()-1))</f>
        <v>ਥਿਤਿ ਵਾਰੁ ਨਾ ਜੋਗੀ ਜਾਣੈ ਰੁਤਿ ਮਾਹੁ ਨਾ ਕੋਈ ॥</v>
      </c>
      <c r="D194" s="6" t="str" cm="1">
        <f t="array" ref="D194">INDEX($A:$A, 2 + 5*(ROW()-1))</f>
        <v>थिति वारु ना जोगी जाणै रुति माहु ना कोई ॥</v>
      </c>
      <c r="E194" s="6" t="str" cm="1">
        <f t="array" ref="E194">INDEX($A:$A, 4 + 5*(ROW()-1))</f>
        <v>The day and the date are not known to the Yogis, nor is the month or the season.</v>
      </c>
    </row>
    <row r="195" spans="1:5" ht="16">
      <c r="A195" s="1"/>
      <c r="C195" s="6" t="str" cm="1">
        <f t="array" ref="C195">INDEX($A:$A, 1 + 5*(ROW()-1))</f>
        <v>ਜਾ ਕਰਤਾ ਸਿਰਠੀ ਕਉ ਸਾਜੇ ਆਪੇ ਜਾਣੈ ਸੋਈ ॥</v>
      </c>
      <c r="D195" s="6" t="str" cm="1">
        <f t="array" ref="D195">INDEX($A:$A, 2 + 5*(ROW()-1))</f>
        <v>जा करता सिरठी कउ साजे आपे जाणै सोई ॥</v>
      </c>
      <c r="E195" s="6" t="str" cm="1">
        <f t="array" ref="E195">INDEX($A:$A, 4 + 5*(ROW()-1))</f>
        <v>The Creator who created this creation-only He Himself knows.</v>
      </c>
    </row>
    <row r="196" spans="1:5" ht="17">
      <c r="A196" s="2" t="s">
        <v>64</v>
      </c>
      <c r="C196" s="6" t="str" cm="1">
        <f t="array" ref="C196">INDEX($A:$A, 1 + 5*(ROW()-1))</f>
        <v>ਕਿਵ ਕਰਿ ਆਖਾ ਕਿਵ ਸਾਲਾਹੀ ਕਿਉ ਵਰਨੀ ਕਿਵ ਜਾਣਾ ॥</v>
      </c>
      <c r="D196" s="6" t="str" cm="1">
        <f t="array" ref="D196">INDEX($A:$A, 2 + 5*(ROW()-1))</f>
        <v>किव करि आखा किव सालाही किउ वरनी किव जाणा ॥</v>
      </c>
      <c r="E196" s="6" t="str" cm="1">
        <f t="array" ref="E196">INDEX($A:$A, 4 + 5*(ROW()-1))</f>
        <v>How can we speak of Him? How can we praise Him? How can we describe Him? How can we know Him?</v>
      </c>
    </row>
    <row r="197" spans="1:5" ht="17">
      <c r="A197" s="3" t="s">
        <v>65</v>
      </c>
      <c r="C197" s="6" cm="1">
        <f t="array" ref="C197">INDEX($A:$A, 1 + 5*(ROW()-1))</f>
        <v>0</v>
      </c>
      <c r="D197" s="6" cm="1">
        <f t="array" ref="D197">INDEX($A:$A, 2 + 5*(ROW()-1))</f>
        <v>0</v>
      </c>
      <c r="E197" s="6" cm="1">
        <f t="array" ref="E197">INDEX($A:$A, 4 + 5*(ROW()-1))</f>
        <v>0</v>
      </c>
    </row>
    <row r="198" spans="1:5" ht="16">
      <c r="A198" s="4" t="s">
        <v>66</v>
      </c>
      <c r="C198" s="6" cm="1">
        <f t="array" ref="C198">INDEX($A:$A, 1 + 5*(ROW()-1))</f>
        <v>0</v>
      </c>
      <c r="D198" s="6" cm="1">
        <f t="array" ref="D198">INDEX($A:$A, 2 + 5*(ROW()-1))</f>
        <v>0</v>
      </c>
      <c r="E198" s="6" cm="1">
        <f t="array" ref="E198">INDEX($A:$A, 4 + 5*(ROW()-1))</f>
        <v>0</v>
      </c>
    </row>
    <row r="199" spans="1:5" ht="16">
      <c r="A199" s="5" t="s">
        <v>67</v>
      </c>
      <c r="C199" s="6" cm="1">
        <f t="array" ref="C199">INDEX($A:$A, 1 + 5*(ROW()-1))</f>
        <v>0</v>
      </c>
      <c r="D199" s="6" cm="1">
        <f t="array" ref="D199">INDEX($A:$A, 2 + 5*(ROW()-1))</f>
        <v>0</v>
      </c>
      <c r="E199" s="6" cm="1">
        <f t="array" ref="E199">INDEX($A:$A, 4 + 5*(ROW()-1))</f>
        <v>0</v>
      </c>
    </row>
    <row r="200" spans="1:5" ht="16">
      <c r="A200" s="1"/>
      <c r="C200" s="6" cm="1">
        <f t="array" ref="C200">INDEX($A:$A, 1 + 5*(ROW()-1))</f>
        <v>0</v>
      </c>
      <c r="D200" s="6" cm="1">
        <f t="array" ref="D200">INDEX($A:$A, 2 + 5*(ROW()-1))</f>
        <v>0</v>
      </c>
      <c r="E200" s="6" cm="1">
        <f t="array" ref="E200">INDEX($A:$A, 4 + 5*(ROW()-1))</f>
        <v>0</v>
      </c>
    </row>
    <row r="201" spans="1:5" ht="17">
      <c r="A201" s="2" t="s">
        <v>68</v>
      </c>
      <c r="C201" s="6" cm="1">
        <f t="array" ref="C201">INDEX($A:$A, 1 + 5*(ROW()-1))</f>
        <v>0</v>
      </c>
      <c r="D201" s="6" cm="1">
        <f t="array" ref="D201">INDEX($A:$A, 2 + 5*(ROW()-1))</f>
        <v>0</v>
      </c>
      <c r="E201" s="6" cm="1">
        <f t="array" ref="E201">INDEX($A:$A, 4 + 5*(ROW()-1))</f>
        <v>0</v>
      </c>
    </row>
    <row r="202" spans="1:5" ht="17">
      <c r="A202" s="3" t="s">
        <v>69</v>
      </c>
      <c r="C202" s="6" cm="1">
        <f t="array" ref="C202">INDEX($A:$A, 1 + 5*(ROW()-1))</f>
        <v>0</v>
      </c>
      <c r="D202" s="6" cm="1">
        <f t="array" ref="D202">INDEX($A:$A, 2 + 5*(ROW()-1))</f>
        <v>0</v>
      </c>
      <c r="E202" s="6" cm="1">
        <f t="array" ref="E202">INDEX($A:$A, 4 + 5*(ROW()-1))</f>
        <v>0</v>
      </c>
    </row>
    <row r="203" spans="1:5" ht="16">
      <c r="A203" s="4" t="s">
        <v>70</v>
      </c>
      <c r="C203" s="6" cm="1">
        <f t="array" ref="C203">INDEX($A:$A, 1 + 5*(ROW()-1))</f>
        <v>0</v>
      </c>
      <c r="D203" s="6" cm="1">
        <f t="array" ref="D203">INDEX($A:$A, 2 + 5*(ROW()-1))</f>
        <v>0</v>
      </c>
      <c r="E203" s="6" cm="1">
        <f t="array" ref="E203">INDEX($A:$A, 4 + 5*(ROW()-1))</f>
        <v>0</v>
      </c>
    </row>
    <row r="204" spans="1:5" ht="16">
      <c r="A204" s="5" t="s">
        <v>71</v>
      </c>
      <c r="C204" s="6" cm="1">
        <f t="array" ref="C204">INDEX($A:$A, 1 + 5*(ROW()-1))</f>
        <v>0</v>
      </c>
      <c r="D204" s="6" cm="1">
        <f t="array" ref="D204">INDEX($A:$A, 2 + 5*(ROW()-1))</f>
        <v>0</v>
      </c>
      <c r="E204" s="6" cm="1">
        <f t="array" ref="E204">INDEX($A:$A, 4 + 5*(ROW()-1))</f>
        <v>0</v>
      </c>
    </row>
    <row r="205" spans="1:5" ht="16">
      <c r="A205" s="1"/>
      <c r="C205" s="6" cm="1">
        <f t="array" ref="C205">INDEX($A:$A, 1 + 5*(ROW()-1))</f>
        <v>0</v>
      </c>
      <c r="D205" s="6" cm="1">
        <f t="array" ref="D205">INDEX($A:$A, 2 + 5*(ROW()-1))</f>
        <v>0</v>
      </c>
      <c r="E205" s="6" cm="1">
        <f t="array" ref="E205">INDEX($A:$A, 4 + 5*(ROW()-1))</f>
        <v>0</v>
      </c>
    </row>
    <row r="206" spans="1:5" ht="17">
      <c r="A206" s="2" t="s">
        <v>72</v>
      </c>
      <c r="C206" s="6" cm="1">
        <f t="array" ref="C206">INDEX($A:$A, 1 + 5*(ROW()-1))</f>
        <v>0</v>
      </c>
      <c r="D206" s="6" cm="1">
        <f t="array" ref="D206">INDEX($A:$A, 2 + 5*(ROW()-1))</f>
        <v>0</v>
      </c>
      <c r="E206" s="6" cm="1">
        <f t="array" ref="E206">INDEX($A:$A, 4 + 5*(ROW()-1))</f>
        <v>0</v>
      </c>
    </row>
    <row r="207" spans="1:5" ht="17">
      <c r="A207" s="3" t="s">
        <v>73</v>
      </c>
      <c r="C207" s="6" cm="1">
        <f t="array" ref="C207">INDEX($A:$A, 1 + 5*(ROW()-1))</f>
        <v>0</v>
      </c>
      <c r="D207" s="6" cm="1">
        <f t="array" ref="D207">INDEX($A:$A, 2 + 5*(ROW()-1))</f>
        <v>0</v>
      </c>
      <c r="E207" s="6" cm="1">
        <f t="array" ref="E207">INDEX($A:$A, 4 + 5*(ROW()-1))</f>
        <v>0</v>
      </c>
    </row>
    <row r="208" spans="1:5" ht="16">
      <c r="A208" s="4" t="s">
        <v>74</v>
      </c>
      <c r="C208" s="6" cm="1">
        <f t="array" ref="C208">INDEX($A:$A, 1 + 5*(ROW()-1))</f>
        <v>0</v>
      </c>
      <c r="D208" s="6" cm="1">
        <f t="array" ref="D208">INDEX($A:$A, 2 + 5*(ROW()-1))</f>
        <v>0</v>
      </c>
      <c r="E208" s="6" cm="1">
        <f t="array" ref="E208">INDEX($A:$A, 4 + 5*(ROW()-1))</f>
        <v>0</v>
      </c>
    </row>
    <row r="209" spans="1:5" ht="16">
      <c r="A209" s="5" t="s">
        <v>75</v>
      </c>
      <c r="C209" s="6" cm="1">
        <f t="array" ref="C209">INDEX($A:$A, 1 + 5*(ROW()-1))</f>
        <v>0</v>
      </c>
      <c r="D209" s="6" cm="1">
        <f t="array" ref="D209">INDEX($A:$A, 2 + 5*(ROW()-1))</f>
        <v>0</v>
      </c>
      <c r="E209" s="6" cm="1">
        <f t="array" ref="E209">INDEX($A:$A, 4 + 5*(ROW()-1))</f>
        <v>0</v>
      </c>
    </row>
    <row r="210" spans="1:5" ht="16">
      <c r="A210" s="1"/>
      <c r="C210" s="6" cm="1">
        <f t="array" ref="C210">INDEX($A:$A, 1 + 5*(ROW()-1))</f>
        <v>0</v>
      </c>
      <c r="D210" s="6" cm="1">
        <f t="array" ref="D210">INDEX($A:$A, 2 + 5*(ROW()-1))</f>
        <v>0</v>
      </c>
      <c r="E210" s="6" cm="1">
        <f t="array" ref="E210">INDEX($A:$A, 4 + 5*(ROW()-1))</f>
        <v>0</v>
      </c>
    </row>
    <row r="211" spans="1:5" ht="17">
      <c r="A211" s="2" t="s">
        <v>76</v>
      </c>
      <c r="C211" s="6" cm="1">
        <f t="array" ref="C211">INDEX($A:$A, 1 + 5*(ROW()-1))</f>
        <v>0</v>
      </c>
      <c r="D211" s="6" cm="1">
        <f t="array" ref="D211">INDEX($A:$A, 2 + 5*(ROW()-1))</f>
        <v>0</v>
      </c>
      <c r="E211" s="6" cm="1">
        <f t="array" ref="E211">INDEX($A:$A, 4 + 5*(ROW()-1))</f>
        <v>0</v>
      </c>
    </row>
    <row r="212" spans="1:5" ht="17">
      <c r="A212" s="3" t="s">
        <v>77</v>
      </c>
      <c r="C212" s="6" cm="1">
        <f t="array" ref="C212">INDEX($A:$A, 1 + 5*(ROW()-1))</f>
        <v>0</v>
      </c>
      <c r="D212" s="6" cm="1">
        <f t="array" ref="D212">INDEX($A:$A, 2 + 5*(ROW()-1))</f>
        <v>0</v>
      </c>
      <c r="E212" s="6" cm="1">
        <f t="array" ref="E212">INDEX($A:$A, 4 + 5*(ROW()-1))</f>
        <v>0</v>
      </c>
    </row>
    <row r="213" spans="1:5" ht="16">
      <c r="A213" s="4" t="s">
        <v>78</v>
      </c>
      <c r="C213" s="6" cm="1">
        <f t="array" ref="C213">INDEX($A:$A, 1 + 5*(ROW()-1))</f>
        <v>0</v>
      </c>
      <c r="D213" s="6" cm="1">
        <f t="array" ref="D213">INDEX($A:$A, 2 + 5*(ROW()-1))</f>
        <v>0</v>
      </c>
      <c r="E213" s="6" cm="1">
        <f t="array" ref="E213">INDEX($A:$A, 4 + 5*(ROW()-1))</f>
        <v>0</v>
      </c>
    </row>
    <row r="214" spans="1:5" ht="16">
      <c r="A214" s="5" t="s">
        <v>79</v>
      </c>
      <c r="C214" s="6" cm="1">
        <f t="array" ref="C214">INDEX($A:$A, 1 + 5*(ROW()-1))</f>
        <v>0</v>
      </c>
      <c r="D214" s="6" cm="1">
        <f t="array" ref="D214">INDEX($A:$A, 2 + 5*(ROW()-1))</f>
        <v>0</v>
      </c>
      <c r="E214" s="6" cm="1">
        <f t="array" ref="E214">INDEX($A:$A, 4 + 5*(ROW()-1))</f>
        <v>0</v>
      </c>
    </row>
    <row r="215" spans="1:5" ht="16">
      <c r="A215" s="1"/>
      <c r="C215" s="6" cm="1">
        <f t="array" ref="C215">INDEX($A:$A, 1 + 5*(ROW()-1))</f>
        <v>0</v>
      </c>
      <c r="D215" s="6" cm="1">
        <f t="array" ref="D215">INDEX($A:$A, 2 + 5*(ROW()-1))</f>
        <v>0</v>
      </c>
      <c r="E215" s="6" cm="1">
        <f t="array" ref="E215">INDEX($A:$A, 4 + 5*(ROW()-1))</f>
        <v>0</v>
      </c>
    </row>
    <row r="216" spans="1:5" ht="17">
      <c r="A216" s="2" t="s">
        <v>80</v>
      </c>
      <c r="C216" s="6" cm="1">
        <f t="array" ref="C216">INDEX($A:$A, 1 + 5*(ROW()-1))</f>
        <v>0</v>
      </c>
      <c r="D216" s="6" cm="1">
        <f t="array" ref="D216">INDEX($A:$A, 2 + 5*(ROW()-1))</f>
        <v>0</v>
      </c>
      <c r="E216" s="6" cm="1">
        <f t="array" ref="E216">INDEX($A:$A, 4 + 5*(ROW()-1))</f>
        <v>0</v>
      </c>
    </row>
    <row r="217" spans="1:5" ht="17">
      <c r="A217" s="3" t="s">
        <v>81</v>
      </c>
      <c r="C217" s="6" cm="1">
        <f t="array" ref="C217">INDEX($A:$A, 1 + 5*(ROW()-1))</f>
        <v>0</v>
      </c>
      <c r="D217" s="6" cm="1">
        <f t="array" ref="D217">INDEX($A:$A, 2 + 5*(ROW()-1))</f>
        <v>0</v>
      </c>
      <c r="E217" s="6" cm="1">
        <f t="array" ref="E217">INDEX($A:$A, 4 + 5*(ROW()-1))</f>
        <v>0</v>
      </c>
    </row>
    <row r="218" spans="1:5" ht="16">
      <c r="A218" s="4" t="s">
        <v>82</v>
      </c>
      <c r="C218" s="6" cm="1">
        <f t="array" ref="C218">INDEX($A:$A, 1 + 5*(ROW()-1))</f>
        <v>0</v>
      </c>
      <c r="D218" s="6" cm="1">
        <f t="array" ref="D218">INDEX($A:$A, 2 + 5*(ROW()-1))</f>
        <v>0</v>
      </c>
      <c r="E218" s="6" cm="1">
        <f t="array" ref="E218">INDEX($A:$A, 4 + 5*(ROW()-1))</f>
        <v>0</v>
      </c>
    </row>
    <row r="219" spans="1:5" ht="32">
      <c r="A219" s="5" t="s">
        <v>83</v>
      </c>
      <c r="C219" s="6" cm="1">
        <f t="array" ref="C219">INDEX($A:$A, 1 + 5*(ROW()-1))</f>
        <v>0</v>
      </c>
      <c r="D219" s="6" cm="1">
        <f t="array" ref="D219">INDEX($A:$A, 2 + 5*(ROW()-1))</f>
        <v>0</v>
      </c>
      <c r="E219" s="6" cm="1">
        <f t="array" ref="E219">INDEX($A:$A, 4 + 5*(ROW()-1))</f>
        <v>0</v>
      </c>
    </row>
    <row r="220" spans="1:5" ht="16">
      <c r="A220" s="1"/>
      <c r="C220" s="6" cm="1">
        <f t="array" ref="C220">INDEX($A:$A, 1 + 5*(ROW()-1))</f>
        <v>0</v>
      </c>
      <c r="D220" s="6" cm="1">
        <f t="array" ref="D220">INDEX($A:$A, 2 + 5*(ROW()-1))</f>
        <v>0</v>
      </c>
      <c r="E220" s="6" cm="1">
        <f t="array" ref="E220">INDEX($A:$A, 4 + 5*(ROW()-1))</f>
        <v>0</v>
      </c>
    </row>
    <row r="221" spans="1:5" ht="17">
      <c r="A221" s="2" t="s">
        <v>84</v>
      </c>
      <c r="C221" s="6" cm="1">
        <f t="array" ref="C221">INDEX($A:$A, 1 + 5*(ROW()-1))</f>
        <v>0</v>
      </c>
      <c r="D221" s="6" cm="1">
        <f t="array" ref="D221">INDEX($A:$A, 2 + 5*(ROW()-1))</f>
        <v>0</v>
      </c>
      <c r="E221" s="6" cm="1">
        <f t="array" ref="E221">INDEX($A:$A, 4 + 5*(ROW()-1))</f>
        <v>0</v>
      </c>
    </row>
    <row r="222" spans="1:5" ht="17">
      <c r="A222" s="3" t="s">
        <v>85</v>
      </c>
      <c r="C222" s="6" cm="1">
        <f t="array" ref="C222">INDEX($A:$A, 1 + 5*(ROW()-1))</f>
        <v>0</v>
      </c>
      <c r="D222" s="6" cm="1">
        <f t="array" ref="D222">INDEX($A:$A, 2 + 5*(ROW()-1))</f>
        <v>0</v>
      </c>
      <c r="E222" s="6" cm="1">
        <f t="array" ref="E222">INDEX($A:$A, 4 + 5*(ROW()-1))</f>
        <v>0</v>
      </c>
    </row>
    <row r="223" spans="1:5" ht="16">
      <c r="A223" s="4" t="s">
        <v>86</v>
      </c>
      <c r="C223" s="6" cm="1">
        <f t="array" ref="C223">INDEX($A:$A, 1 + 5*(ROW()-1))</f>
        <v>0</v>
      </c>
      <c r="D223" s="6" cm="1">
        <f t="array" ref="D223">INDEX($A:$A, 2 + 5*(ROW()-1))</f>
        <v>0</v>
      </c>
      <c r="E223" s="6" cm="1">
        <f t="array" ref="E223">INDEX($A:$A, 4 + 5*(ROW()-1))</f>
        <v>0</v>
      </c>
    </row>
    <row r="224" spans="1:5" ht="32">
      <c r="A224" s="5" t="s">
        <v>87</v>
      </c>
      <c r="C224" s="6" cm="1">
        <f t="array" ref="C224">INDEX($A:$A, 1 + 5*(ROW()-1))</f>
        <v>0</v>
      </c>
      <c r="D224" s="6" cm="1">
        <f t="array" ref="D224">INDEX($A:$A, 2 + 5*(ROW()-1))</f>
        <v>0</v>
      </c>
      <c r="E224" s="6" cm="1">
        <f t="array" ref="E224">INDEX($A:$A, 4 + 5*(ROW()-1))</f>
        <v>0</v>
      </c>
    </row>
    <row r="225" spans="1:5" ht="16">
      <c r="A225" s="1"/>
      <c r="C225" s="6" cm="1">
        <f t="array" ref="C225">INDEX($A:$A, 1 + 5*(ROW()-1))</f>
        <v>0</v>
      </c>
      <c r="D225" s="6" cm="1">
        <f t="array" ref="D225">INDEX($A:$A, 2 + 5*(ROW()-1))</f>
        <v>0</v>
      </c>
      <c r="E225" s="6" cm="1">
        <f t="array" ref="E225">INDEX($A:$A, 4 + 5*(ROW()-1))</f>
        <v>0</v>
      </c>
    </row>
    <row r="226" spans="1:5" ht="17">
      <c r="A226" s="2" t="s">
        <v>88</v>
      </c>
      <c r="C226" s="6" cm="1">
        <f t="array" ref="C226">INDEX($A:$A, 1 + 5*(ROW()-1))</f>
        <v>0</v>
      </c>
      <c r="D226" s="6" cm="1">
        <f t="array" ref="D226">INDEX($A:$A, 2 + 5*(ROW()-1))</f>
        <v>0</v>
      </c>
      <c r="E226" s="6" cm="1">
        <f t="array" ref="E226">INDEX($A:$A, 4 + 5*(ROW()-1))</f>
        <v>0</v>
      </c>
    </row>
    <row r="227" spans="1:5" ht="17">
      <c r="A227" s="3" t="s">
        <v>89</v>
      </c>
      <c r="C227" s="6" cm="1">
        <f t="array" ref="C227">INDEX($A:$A, 1 + 5*(ROW()-1))</f>
        <v>0</v>
      </c>
      <c r="D227" s="6" cm="1">
        <f t="array" ref="D227">INDEX($A:$A, 2 + 5*(ROW()-1))</f>
        <v>0</v>
      </c>
      <c r="E227" s="6" cm="1">
        <f t="array" ref="E227">INDEX($A:$A, 4 + 5*(ROW()-1))</f>
        <v>0</v>
      </c>
    </row>
    <row r="228" spans="1:5" ht="16">
      <c r="A228" s="4" t="s">
        <v>90</v>
      </c>
      <c r="C228" s="6" cm="1">
        <f t="array" ref="C228">INDEX($A:$A, 1 + 5*(ROW()-1))</f>
        <v>0</v>
      </c>
      <c r="D228" s="6" cm="1">
        <f t="array" ref="D228">INDEX($A:$A, 2 + 5*(ROW()-1))</f>
        <v>0</v>
      </c>
      <c r="E228" s="6" cm="1">
        <f t="array" ref="E228">INDEX($A:$A, 4 + 5*(ROW()-1))</f>
        <v>0</v>
      </c>
    </row>
    <row r="229" spans="1:5" ht="16">
      <c r="A229" s="5" t="s">
        <v>91</v>
      </c>
      <c r="C229" s="6" cm="1">
        <f t="array" ref="C229">INDEX($A:$A, 1 + 5*(ROW()-1))</f>
        <v>0</v>
      </c>
      <c r="D229" s="6" cm="1">
        <f t="array" ref="D229">INDEX($A:$A, 2 + 5*(ROW()-1))</f>
        <v>0</v>
      </c>
      <c r="E229" s="6" cm="1">
        <f t="array" ref="E229">INDEX($A:$A, 4 + 5*(ROW()-1))</f>
        <v>0</v>
      </c>
    </row>
    <row r="230" spans="1:5" ht="16">
      <c r="A230" s="1"/>
      <c r="C230" s="6" cm="1">
        <f t="array" ref="C230">INDEX($A:$A, 1 + 5*(ROW()-1))</f>
        <v>0</v>
      </c>
      <c r="D230" s="6" cm="1">
        <f t="array" ref="D230">INDEX($A:$A, 2 + 5*(ROW()-1))</f>
        <v>0</v>
      </c>
      <c r="E230" s="6" cm="1">
        <f t="array" ref="E230">INDEX($A:$A, 4 + 5*(ROW()-1))</f>
        <v>0</v>
      </c>
    </row>
    <row r="231" spans="1:5" ht="17">
      <c r="A231" s="2" t="s">
        <v>92</v>
      </c>
      <c r="C231" s="6" cm="1">
        <f t="array" ref="C231">INDEX($A:$A, 1 + 5*(ROW()-1))</f>
        <v>0</v>
      </c>
      <c r="D231" s="6" cm="1">
        <f t="array" ref="D231">INDEX($A:$A, 2 + 5*(ROW()-1))</f>
        <v>0</v>
      </c>
      <c r="E231" s="6" cm="1">
        <f t="array" ref="E231">INDEX($A:$A, 4 + 5*(ROW()-1))</f>
        <v>0</v>
      </c>
    </row>
    <row r="232" spans="1:5" ht="17">
      <c r="A232" s="3" t="s">
        <v>93</v>
      </c>
      <c r="C232" s="6" cm="1">
        <f t="array" ref="C232">INDEX($A:$A, 1 + 5*(ROW()-1))</f>
        <v>0</v>
      </c>
      <c r="D232" s="6" cm="1">
        <f t="array" ref="D232">INDEX($A:$A, 2 + 5*(ROW()-1))</f>
        <v>0</v>
      </c>
      <c r="E232" s="6" cm="1">
        <f t="array" ref="E232">INDEX($A:$A, 4 + 5*(ROW()-1))</f>
        <v>0</v>
      </c>
    </row>
    <row r="233" spans="1:5" ht="16">
      <c r="A233" s="4" t="s">
        <v>94</v>
      </c>
      <c r="C233" s="6" cm="1">
        <f t="array" ref="C233">INDEX($A:$A, 1 + 5*(ROW()-1))</f>
        <v>0</v>
      </c>
      <c r="D233" s="6" cm="1">
        <f t="array" ref="D233">INDEX($A:$A, 2 + 5*(ROW()-1))</f>
        <v>0</v>
      </c>
      <c r="E233" s="6" cm="1">
        <f t="array" ref="E233">INDEX($A:$A, 4 + 5*(ROW()-1))</f>
        <v>0</v>
      </c>
    </row>
    <row r="234" spans="1:5" ht="16">
      <c r="A234" s="5" t="s">
        <v>95</v>
      </c>
      <c r="C234" s="6" cm="1">
        <f t="array" ref="C234">INDEX($A:$A, 1 + 5*(ROW()-1))</f>
        <v>0</v>
      </c>
      <c r="D234" s="6" cm="1">
        <f t="array" ref="D234">INDEX($A:$A, 2 + 5*(ROW()-1))</f>
        <v>0</v>
      </c>
      <c r="E234" s="6" cm="1">
        <f t="array" ref="E234">INDEX($A:$A, 4 + 5*(ROW()-1))</f>
        <v>0</v>
      </c>
    </row>
    <row r="235" spans="1:5" ht="16">
      <c r="A235" s="1"/>
      <c r="C235" s="6" cm="1">
        <f t="array" ref="C235">INDEX($A:$A, 1 + 5*(ROW()-1))</f>
        <v>0</v>
      </c>
      <c r="D235" s="6" cm="1">
        <f t="array" ref="D235">INDEX($A:$A, 2 + 5*(ROW()-1))</f>
        <v>0</v>
      </c>
      <c r="E235" s="6" cm="1">
        <f t="array" ref="E235">INDEX($A:$A, 4 + 5*(ROW()-1))</f>
        <v>0</v>
      </c>
    </row>
    <row r="236" spans="1:5" ht="17">
      <c r="A236" s="2" t="s">
        <v>96</v>
      </c>
      <c r="C236" s="6" cm="1">
        <f t="array" ref="C236">INDEX($A:$A, 1 + 5*(ROW()-1))</f>
        <v>0</v>
      </c>
      <c r="D236" s="6" cm="1">
        <f t="array" ref="D236">INDEX($A:$A, 2 + 5*(ROW()-1))</f>
        <v>0</v>
      </c>
      <c r="E236" s="6" cm="1">
        <f t="array" ref="E236">INDEX($A:$A, 4 + 5*(ROW()-1))</f>
        <v>0</v>
      </c>
    </row>
    <row r="237" spans="1:5" ht="17">
      <c r="A237" s="3" t="s">
        <v>97</v>
      </c>
      <c r="C237" s="6" cm="1">
        <f t="array" ref="C237">INDEX($A:$A, 1 + 5*(ROW()-1))</f>
        <v>0</v>
      </c>
      <c r="D237" s="6" cm="1">
        <f t="array" ref="D237">INDEX($A:$A, 2 + 5*(ROW()-1))</f>
        <v>0</v>
      </c>
      <c r="E237" s="6" cm="1">
        <f t="array" ref="E237">INDEX($A:$A, 4 + 5*(ROW()-1))</f>
        <v>0</v>
      </c>
    </row>
    <row r="238" spans="1:5" ht="16">
      <c r="A238" s="4" t="s">
        <v>98</v>
      </c>
      <c r="C238" s="6" cm="1">
        <f t="array" ref="C238">INDEX($A:$A, 1 + 5*(ROW()-1))</f>
        <v>0</v>
      </c>
      <c r="D238" s="6" cm="1">
        <f t="array" ref="D238">INDEX($A:$A, 2 + 5*(ROW()-1))</f>
        <v>0</v>
      </c>
      <c r="E238" s="6" cm="1">
        <f t="array" ref="E238">INDEX($A:$A, 4 + 5*(ROW()-1))</f>
        <v>0</v>
      </c>
    </row>
    <row r="239" spans="1:5" ht="16">
      <c r="A239" s="5" t="s">
        <v>99</v>
      </c>
      <c r="C239" s="6" cm="1">
        <f t="array" ref="C239">INDEX($A:$A, 1 + 5*(ROW()-1))</f>
        <v>0</v>
      </c>
      <c r="D239" s="6" cm="1">
        <f t="array" ref="D239">INDEX($A:$A, 2 + 5*(ROW()-1))</f>
        <v>0</v>
      </c>
      <c r="E239" s="6" cm="1">
        <f t="array" ref="E239">INDEX($A:$A, 4 + 5*(ROW()-1))</f>
        <v>0</v>
      </c>
    </row>
    <row r="240" spans="1:5" ht="16">
      <c r="A240" s="1"/>
      <c r="C240" s="6" cm="1">
        <f t="array" ref="C240">INDEX($A:$A, 1 + 5*(ROW()-1))</f>
        <v>0</v>
      </c>
      <c r="D240" s="6" cm="1">
        <f t="array" ref="D240">INDEX($A:$A, 2 + 5*(ROW()-1))</f>
        <v>0</v>
      </c>
      <c r="E240" s="6" cm="1">
        <f t="array" ref="E240">INDEX($A:$A, 4 + 5*(ROW()-1))</f>
        <v>0</v>
      </c>
    </row>
    <row r="241" spans="1:5" ht="17">
      <c r="A241" s="2" t="s">
        <v>100</v>
      </c>
      <c r="C241" s="6" cm="1">
        <f t="array" ref="C241">INDEX($A:$A, 1 + 5*(ROW()-1))</f>
        <v>0</v>
      </c>
      <c r="D241" s="6" cm="1">
        <f t="array" ref="D241">INDEX($A:$A, 2 + 5*(ROW()-1))</f>
        <v>0</v>
      </c>
      <c r="E241" s="6" cm="1">
        <f t="array" ref="E241">INDEX($A:$A, 4 + 5*(ROW()-1))</f>
        <v>0</v>
      </c>
    </row>
    <row r="242" spans="1:5" ht="17">
      <c r="A242" s="3" t="s">
        <v>101</v>
      </c>
      <c r="C242" s="6" cm="1">
        <f t="array" ref="C242">INDEX($A:$A, 1 + 5*(ROW()-1))</f>
        <v>0</v>
      </c>
      <c r="D242" s="6" cm="1">
        <f t="array" ref="D242">INDEX($A:$A, 2 + 5*(ROW()-1))</f>
        <v>0</v>
      </c>
      <c r="E242" s="6" cm="1">
        <f t="array" ref="E242">INDEX($A:$A, 4 + 5*(ROW()-1))</f>
        <v>0</v>
      </c>
    </row>
    <row r="243" spans="1:5" ht="16">
      <c r="A243" s="4" t="s">
        <v>102</v>
      </c>
      <c r="C243" s="6" cm="1">
        <f t="array" ref="C243">INDEX($A:$A, 1 + 5*(ROW()-1))</f>
        <v>0</v>
      </c>
      <c r="D243" s="6" cm="1">
        <f t="array" ref="D243">INDEX($A:$A, 2 + 5*(ROW()-1))</f>
        <v>0</v>
      </c>
      <c r="E243" s="6" cm="1">
        <f t="array" ref="E243">INDEX($A:$A, 4 + 5*(ROW()-1))</f>
        <v>0</v>
      </c>
    </row>
    <row r="244" spans="1:5" ht="32">
      <c r="A244" s="5" t="s">
        <v>103</v>
      </c>
    </row>
    <row r="245" spans="1:5">
      <c r="A245" s="1"/>
    </row>
    <row r="246" spans="1:5" ht="17">
      <c r="A246" s="2" t="s">
        <v>104</v>
      </c>
    </row>
    <row r="247" spans="1:5" ht="17">
      <c r="A247" s="3" t="s">
        <v>105</v>
      </c>
    </row>
    <row r="248" spans="1:5" ht="16">
      <c r="A248" s="4" t="s">
        <v>106</v>
      </c>
    </row>
    <row r="249" spans="1:5" ht="32">
      <c r="A249" s="5" t="s">
        <v>107</v>
      </c>
    </row>
    <row r="250" spans="1:5">
      <c r="A250" s="1"/>
    </row>
    <row r="251" spans="1:5" ht="17">
      <c r="A251" s="2" t="s">
        <v>108</v>
      </c>
    </row>
    <row r="252" spans="1:5" ht="17">
      <c r="A252" s="3" t="s">
        <v>109</v>
      </c>
    </row>
    <row r="253" spans="1:5" ht="16">
      <c r="A253" s="4" t="s">
        <v>110</v>
      </c>
    </row>
    <row r="254" spans="1:5" ht="32">
      <c r="A254" s="5" t="s">
        <v>111</v>
      </c>
    </row>
    <row r="255" spans="1:5">
      <c r="A255" s="1"/>
    </row>
    <row r="256" spans="1:5" ht="17">
      <c r="A256" s="2" t="s">
        <v>92</v>
      </c>
    </row>
    <row r="257" spans="1:1" ht="17">
      <c r="A257" s="3" t="s">
        <v>93</v>
      </c>
    </row>
    <row r="258" spans="1:1" ht="16">
      <c r="A258" s="4" t="s">
        <v>94</v>
      </c>
    </row>
    <row r="259" spans="1:1" ht="16">
      <c r="A259" s="5" t="s">
        <v>95</v>
      </c>
    </row>
    <row r="260" spans="1:1">
      <c r="A260" s="1"/>
    </row>
    <row r="261" spans="1:1" ht="17">
      <c r="A261" s="2" t="s">
        <v>112</v>
      </c>
    </row>
    <row r="262" spans="1:1" ht="17">
      <c r="A262" s="3" t="s">
        <v>113</v>
      </c>
    </row>
    <row r="263" spans="1:1" ht="16">
      <c r="A263" s="4" t="s">
        <v>114</v>
      </c>
    </row>
    <row r="264" spans="1:1" ht="16">
      <c r="A264" s="5" t="s">
        <v>115</v>
      </c>
    </row>
    <row r="265" spans="1:1">
      <c r="A265" s="1"/>
    </row>
    <row r="266" spans="1:1" ht="17">
      <c r="A266" s="2" t="s">
        <v>116</v>
      </c>
    </row>
    <row r="267" spans="1:1" ht="17">
      <c r="A267" s="3" t="s">
        <v>117</v>
      </c>
    </row>
    <row r="268" spans="1:1" ht="16">
      <c r="A268" s="4" t="s">
        <v>118</v>
      </c>
    </row>
    <row r="269" spans="1:1" ht="16">
      <c r="A269" s="5" t="s">
        <v>119</v>
      </c>
    </row>
    <row r="270" spans="1:1">
      <c r="A270" s="1"/>
    </row>
    <row r="271" spans="1:1" ht="17">
      <c r="A271" s="2" t="s">
        <v>120</v>
      </c>
    </row>
    <row r="272" spans="1:1" ht="17">
      <c r="A272" s="3" t="s">
        <v>121</v>
      </c>
    </row>
    <row r="273" spans="1:1" ht="16">
      <c r="A273" s="4" t="s">
        <v>122</v>
      </c>
    </row>
    <row r="274" spans="1:1" ht="32">
      <c r="A274" s="5" t="s">
        <v>123</v>
      </c>
    </row>
    <row r="275" spans="1:1">
      <c r="A275" s="1"/>
    </row>
    <row r="276" spans="1:1" ht="17">
      <c r="A276" s="2" t="s">
        <v>124</v>
      </c>
    </row>
    <row r="277" spans="1:1" ht="17">
      <c r="A277" s="3" t="s">
        <v>125</v>
      </c>
    </row>
    <row r="278" spans="1:1" ht="16">
      <c r="A278" s="4" t="s">
        <v>126</v>
      </c>
    </row>
    <row r="279" spans="1:1" ht="32">
      <c r="A279" s="5" t="s">
        <v>127</v>
      </c>
    </row>
    <row r="280" spans="1:1">
      <c r="A280" s="1"/>
    </row>
    <row r="281" spans="1:1" ht="17">
      <c r="A281" s="2" t="s">
        <v>128</v>
      </c>
    </row>
    <row r="282" spans="1:1" ht="17">
      <c r="A282" s="3" t="s">
        <v>129</v>
      </c>
    </row>
    <row r="283" spans="1:1" ht="16">
      <c r="A283" s="4" t="s">
        <v>130</v>
      </c>
    </row>
    <row r="284" spans="1:1" ht="32">
      <c r="A284" s="5" t="s">
        <v>131</v>
      </c>
    </row>
    <row r="285" spans="1:1">
      <c r="A285" s="1"/>
    </row>
    <row r="286" spans="1:1" ht="17">
      <c r="A286" s="2" t="s">
        <v>132</v>
      </c>
    </row>
    <row r="287" spans="1:1" ht="17">
      <c r="A287" s="3" t="s">
        <v>133</v>
      </c>
    </row>
    <row r="288" spans="1:1" ht="16">
      <c r="A288" s="4" t="s">
        <v>134</v>
      </c>
    </row>
    <row r="289" spans="1:1" ht="32">
      <c r="A289" s="5" t="s">
        <v>135</v>
      </c>
    </row>
    <row r="290" spans="1:1">
      <c r="A290" s="1"/>
    </row>
    <row r="291" spans="1:1" ht="17">
      <c r="A291" s="2" t="s">
        <v>136</v>
      </c>
    </row>
    <row r="292" spans="1:1" ht="17">
      <c r="A292" s="3" t="s">
        <v>137</v>
      </c>
    </row>
    <row r="293" spans="1:1" ht="16">
      <c r="A293" s="4" t="s">
        <v>138</v>
      </c>
    </row>
    <row r="294" spans="1:1" ht="32">
      <c r="A294" s="5" t="s">
        <v>139</v>
      </c>
    </row>
    <row r="295" spans="1:1">
      <c r="A295" s="1"/>
    </row>
    <row r="296" spans="1:1" ht="17">
      <c r="A296" s="2" t="s">
        <v>140</v>
      </c>
    </row>
    <row r="297" spans="1:1" ht="17">
      <c r="A297" s="3" t="s">
        <v>141</v>
      </c>
    </row>
    <row r="298" spans="1:1" ht="16">
      <c r="A298" s="4" t="s">
        <v>142</v>
      </c>
    </row>
    <row r="299" spans="1:1" ht="16">
      <c r="A299" s="5" t="s">
        <v>143</v>
      </c>
    </row>
    <row r="300" spans="1:1">
      <c r="A300" s="1"/>
    </row>
    <row r="301" spans="1:1" ht="17">
      <c r="A301" s="2" t="s">
        <v>144</v>
      </c>
    </row>
    <row r="302" spans="1:1" ht="17">
      <c r="A302" s="3" t="s">
        <v>145</v>
      </c>
    </row>
    <row r="303" spans="1:1" ht="16">
      <c r="A303" s="4" t="s">
        <v>146</v>
      </c>
    </row>
    <row r="304" spans="1:1" ht="32">
      <c r="A304" s="5" t="s">
        <v>147</v>
      </c>
    </row>
    <row r="305" spans="1:1">
      <c r="A305" s="1"/>
    </row>
    <row r="306" spans="1:1" ht="17">
      <c r="A306" s="2" t="s">
        <v>148</v>
      </c>
    </row>
    <row r="307" spans="1:1" ht="17">
      <c r="A307" s="3" t="s">
        <v>149</v>
      </c>
    </row>
    <row r="308" spans="1:1" ht="16">
      <c r="A308" s="4" t="s">
        <v>150</v>
      </c>
    </row>
    <row r="309" spans="1:1" ht="16">
      <c r="A309" s="5" t="s">
        <v>151</v>
      </c>
    </row>
    <row r="310" spans="1:1">
      <c r="A310" s="1"/>
    </row>
    <row r="311" spans="1:1" ht="17">
      <c r="A311" s="2" t="s">
        <v>152</v>
      </c>
    </row>
    <row r="312" spans="1:1" ht="17">
      <c r="A312" s="3" t="s">
        <v>153</v>
      </c>
    </row>
    <row r="313" spans="1:1" ht="16">
      <c r="A313" s="4" t="s">
        <v>154</v>
      </c>
    </row>
    <row r="314" spans="1:1" ht="32">
      <c r="A314" s="5" t="s">
        <v>155</v>
      </c>
    </row>
    <row r="315" spans="1:1">
      <c r="A315" s="1"/>
    </row>
    <row r="316" spans="1:1" ht="17">
      <c r="A316" s="2" t="s">
        <v>156</v>
      </c>
    </row>
    <row r="317" spans="1:1" ht="17">
      <c r="A317" s="3" t="s">
        <v>157</v>
      </c>
    </row>
    <row r="318" spans="1:1" ht="16">
      <c r="A318" s="4" t="s">
        <v>158</v>
      </c>
    </row>
    <row r="319" spans="1:1" ht="16">
      <c r="A319" s="5" t="s">
        <v>159</v>
      </c>
    </row>
    <row r="320" spans="1:1">
      <c r="A320" s="1"/>
    </row>
    <row r="321" spans="1:1" ht="17">
      <c r="A321" s="2" t="s">
        <v>160</v>
      </c>
    </row>
    <row r="322" spans="1:1" ht="17">
      <c r="A322" s="3" t="s">
        <v>161</v>
      </c>
    </row>
    <row r="323" spans="1:1" ht="16">
      <c r="A323" s="4" t="s">
        <v>162</v>
      </c>
    </row>
    <row r="324" spans="1:1" ht="16">
      <c r="A324" s="5" t="s">
        <v>163</v>
      </c>
    </row>
    <row r="325" spans="1:1">
      <c r="A325" s="1"/>
    </row>
    <row r="326" spans="1:1" ht="17">
      <c r="A326" s="2" t="s">
        <v>164</v>
      </c>
    </row>
    <row r="327" spans="1:1" ht="17">
      <c r="A327" s="3" t="s">
        <v>165</v>
      </c>
    </row>
    <row r="328" spans="1:1" ht="16">
      <c r="A328" s="4" t="s">
        <v>166</v>
      </c>
    </row>
    <row r="329" spans="1:1" ht="16">
      <c r="A329" s="5" t="s">
        <v>167</v>
      </c>
    </row>
    <row r="330" spans="1:1">
      <c r="A330" s="1"/>
    </row>
    <row r="331" spans="1:1" ht="17">
      <c r="A331" s="2" t="s">
        <v>168</v>
      </c>
    </row>
    <row r="332" spans="1:1" ht="17">
      <c r="A332" s="3" t="s">
        <v>169</v>
      </c>
    </row>
    <row r="333" spans="1:1" ht="16">
      <c r="A333" s="4" t="s">
        <v>170</v>
      </c>
    </row>
    <row r="334" spans="1:1" ht="16">
      <c r="A334" s="5" t="s">
        <v>171</v>
      </c>
    </row>
    <row r="335" spans="1:1">
      <c r="A335" s="1"/>
    </row>
    <row r="336" spans="1:1" ht="17">
      <c r="A336" s="2" t="s">
        <v>172</v>
      </c>
    </row>
    <row r="337" spans="1:1" ht="17">
      <c r="A337" s="3" t="s">
        <v>173</v>
      </c>
    </row>
    <row r="338" spans="1:1" ht="16">
      <c r="A338" s="4" t="s">
        <v>174</v>
      </c>
    </row>
    <row r="339" spans="1:1" ht="16">
      <c r="A339" s="5" t="s">
        <v>175</v>
      </c>
    </row>
    <row r="340" spans="1:1">
      <c r="A340" s="1"/>
    </row>
    <row r="341" spans="1:1" ht="17">
      <c r="A341" s="2" t="s">
        <v>176</v>
      </c>
    </row>
    <row r="342" spans="1:1" ht="17">
      <c r="A342" s="3" t="s">
        <v>177</v>
      </c>
    </row>
    <row r="343" spans="1:1" ht="16">
      <c r="A343" s="4" t="s">
        <v>178</v>
      </c>
    </row>
    <row r="344" spans="1:1" ht="16">
      <c r="A344" s="5" t="s">
        <v>179</v>
      </c>
    </row>
    <row r="345" spans="1:1">
      <c r="A345" s="1"/>
    </row>
    <row r="346" spans="1:1" ht="17">
      <c r="A346" s="2" t="s">
        <v>180</v>
      </c>
    </row>
    <row r="347" spans="1:1" ht="17">
      <c r="A347" s="3" t="s">
        <v>181</v>
      </c>
    </row>
    <row r="348" spans="1:1" ht="16">
      <c r="A348" s="4" t="s">
        <v>182</v>
      </c>
    </row>
    <row r="349" spans="1:1" ht="16">
      <c r="A349" s="5" t="s">
        <v>183</v>
      </c>
    </row>
    <row r="350" spans="1:1">
      <c r="A350" s="1"/>
    </row>
    <row r="351" spans="1:1" ht="17">
      <c r="A351" s="2" t="s">
        <v>160</v>
      </c>
    </row>
    <row r="352" spans="1:1" ht="17">
      <c r="A352" s="3" t="s">
        <v>161</v>
      </c>
    </row>
    <row r="353" spans="1:1" ht="16">
      <c r="A353" s="4" t="s">
        <v>162</v>
      </c>
    </row>
    <row r="354" spans="1:1" ht="16">
      <c r="A354" s="5" t="s">
        <v>163</v>
      </c>
    </row>
    <row r="356" spans="1:1" ht="17">
      <c r="A356" s="2" t="s">
        <v>352</v>
      </c>
    </row>
    <row r="357" spans="1:1" ht="17">
      <c r="A357" s="3" t="s">
        <v>353</v>
      </c>
    </row>
    <row r="358" spans="1:1" ht="16">
      <c r="A358" s="4" t="s">
        <v>354</v>
      </c>
    </row>
    <row r="359" spans="1:1" ht="16">
      <c r="A359" s="5" t="s">
        <v>355</v>
      </c>
    </row>
    <row r="360" spans="1:1">
      <c r="A360" s="1"/>
    </row>
    <row r="361" spans="1:1" ht="17">
      <c r="A361" s="2" t="s">
        <v>356</v>
      </c>
    </row>
    <row r="362" spans="1:1" ht="17">
      <c r="A362" s="3" t="s">
        <v>357</v>
      </c>
    </row>
    <row r="363" spans="1:1" ht="16">
      <c r="A363" s="4" t="s">
        <v>358</v>
      </c>
    </row>
    <row r="364" spans="1:1" ht="16">
      <c r="A364" s="5" t="s">
        <v>359</v>
      </c>
    </row>
    <row r="365" spans="1:1">
      <c r="A365" s="1"/>
    </row>
    <row r="366" spans="1:1" ht="17">
      <c r="A366" s="2" t="s">
        <v>360</v>
      </c>
    </row>
    <row r="367" spans="1:1" ht="17">
      <c r="A367" s="3" t="s">
        <v>361</v>
      </c>
    </row>
    <row r="368" spans="1:1" ht="16">
      <c r="A368" s="4" t="s">
        <v>362</v>
      </c>
    </row>
    <row r="369" spans="1:1" ht="16">
      <c r="A369" s="5" t="s">
        <v>363</v>
      </c>
    </row>
    <row r="370" spans="1:1">
      <c r="A370" s="1"/>
    </row>
    <row r="371" spans="1:1" ht="17">
      <c r="A371" s="2" t="s">
        <v>364</v>
      </c>
    </row>
    <row r="372" spans="1:1" ht="17">
      <c r="A372" s="3" t="s">
        <v>365</v>
      </c>
    </row>
    <row r="373" spans="1:1" ht="16">
      <c r="A373" s="4" t="s">
        <v>366</v>
      </c>
    </row>
    <row r="374" spans="1:1" ht="16">
      <c r="A374" s="5" t="s">
        <v>367</v>
      </c>
    </row>
    <row r="375" spans="1:1">
      <c r="A375" s="1"/>
    </row>
    <row r="376" spans="1:1" ht="17">
      <c r="A376" s="2" t="s">
        <v>368</v>
      </c>
    </row>
    <row r="377" spans="1:1" ht="17">
      <c r="A377" s="3" t="s">
        <v>369</v>
      </c>
    </row>
    <row r="378" spans="1:1" ht="16">
      <c r="A378" s="4" t="s">
        <v>370</v>
      </c>
    </row>
    <row r="379" spans="1:1" ht="16">
      <c r="A379" s="5" t="s">
        <v>371</v>
      </c>
    </row>
    <row r="380" spans="1:1">
      <c r="A380" s="1"/>
    </row>
    <row r="381" spans="1:1" ht="17">
      <c r="A381" s="2" t="s">
        <v>160</v>
      </c>
    </row>
    <row r="382" spans="1:1" ht="17">
      <c r="A382" s="3" t="s">
        <v>161</v>
      </c>
    </row>
    <row r="383" spans="1:1" ht="16">
      <c r="A383" s="4" t="s">
        <v>162</v>
      </c>
    </row>
    <row r="384" spans="1:1" ht="16">
      <c r="A384" s="5" t="s">
        <v>163</v>
      </c>
    </row>
    <row r="385" spans="1:1">
      <c r="A385" s="1"/>
    </row>
    <row r="386" spans="1:1" ht="17">
      <c r="A386" s="2" t="s">
        <v>372</v>
      </c>
    </row>
    <row r="387" spans="1:1" ht="17">
      <c r="A387" s="3" t="s">
        <v>373</v>
      </c>
    </row>
    <row r="388" spans="1:1" ht="16">
      <c r="A388" s="4" t="s">
        <v>374</v>
      </c>
    </row>
    <row r="389" spans="1:1" ht="16">
      <c r="A389" s="5" t="s">
        <v>375</v>
      </c>
    </row>
    <row r="390" spans="1:1">
      <c r="A390" s="1"/>
    </row>
    <row r="391" spans="1:1" ht="17">
      <c r="A391" s="2" t="s">
        <v>376</v>
      </c>
    </row>
    <row r="392" spans="1:1" ht="17">
      <c r="A392" s="3" t="s">
        <v>377</v>
      </c>
    </row>
    <row r="393" spans="1:1" ht="16">
      <c r="A393" s="4" t="s">
        <v>378</v>
      </c>
    </row>
    <row r="394" spans="1:1" ht="16">
      <c r="A394" s="5" t="s">
        <v>379</v>
      </c>
    </row>
    <row r="395" spans="1:1">
      <c r="A395" s="1"/>
    </row>
    <row r="396" spans="1:1" ht="17">
      <c r="A396" s="2" t="s">
        <v>380</v>
      </c>
    </row>
    <row r="397" spans="1:1" ht="17">
      <c r="A397" s="3" t="s">
        <v>381</v>
      </c>
    </row>
    <row r="398" spans="1:1" ht="16">
      <c r="A398" s="4" t="s">
        <v>382</v>
      </c>
    </row>
    <row r="399" spans="1:1" ht="16">
      <c r="A399" s="5" t="s">
        <v>383</v>
      </c>
    </row>
    <row r="400" spans="1:1">
      <c r="A400" s="1"/>
    </row>
    <row r="401" spans="1:1" ht="17">
      <c r="A401" s="2" t="s">
        <v>384</v>
      </c>
    </row>
    <row r="402" spans="1:1" ht="17">
      <c r="A402" s="3" t="s">
        <v>385</v>
      </c>
    </row>
    <row r="403" spans="1:1" ht="16">
      <c r="A403" s="4" t="s">
        <v>386</v>
      </c>
    </row>
    <row r="404" spans="1:1" ht="16">
      <c r="A404" s="5" t="s">
        <v>387</v>
      </c>
    </row>
    <row r="405" spans="1:1">
      <c r="A405" s="1"/>
    </row>
    <row r="406" spans="1:1" ht="17">
      <c r="A406" s="2" t="s">
        <v>388</v>
      </c>
    </row>
    <row r="407" spans="1:1" ht="17">
      <c r="A407" s="3" t="s">
        <v>389</v>
      </c>
    </row>
    <row r="408" spans="1:1" ht="16">
      <c r="A408" s="4" t="s">
        <v>390</v>
      </c>
    </row>
    <row r="409" spans="1:1" ht="16">
      <c r="A409" s="5" t="s">
        <v>391</v>
      </c>
    </row>
    <row r="410" spans="1:1">
      <c r="A410" s="1"/>
    </row>
    <row r="411" spans="1:1" ht="17">
      <c r="A411" s="2" t="s">
        <v>160</v>
      </c>
    </row>
    <row r="412" spans="1:1" ht="17">
      <c r="A412" s="3" t="s">
        <v>161</v>
      </c>
    </row>
    <row r="413" spans="1:1" ht="16">
      <c r="A413" s="4" t="s">
        <v>162</v>
      </c>
    </row>
    <row r="414" spans="1:1" ht="16">
      <c r="A414" s="5" t="s">
        <v>163</v>
      </c>
    </row>
    <row r="415" spans="1:1">
      <c r="A415" s="1"/>
    </row>
    <row r="416" spans="1:1" ht="17">
      <c r="A416" s="2" t="s">
        <v>392</v>
      </c>
    </row>
    <row r="417" spans="1:1" ht="17">
      <c r="A417" s="3" t="s">
        <v>393</v>
      </c>
    </row>
    <row r="418" spans="1:1" ht="16">
      <c r="A418" s="4" t="s">
        <v>394</v>
      </c>
    </row>
    <row r="419" spans="1:1" ht="16">
      <c r="A419" s="5" t="s">
        <v>395</v>
      </c>
    </row>
    <row r="420" spans="1:1">
      <c r="A420" s="1"/>
    </row>
    <row r="421" spans="1:1" ht="17">
      <c r="A421" s="2" t="s">
        <v>396</v>
      </c>
    </row>
    <row r="422" spans="1:1" ht="17">
      <c r="A422" s="3" t="s">
        <v>397</v>
      </c>
    </row>
    <row r="423" spans="1:1" ht="16">
      <c r="A423" s="4" t="s">
        <v>398</v>
      </c>
    </row>
    <row r="424" spans="1:1" ht="16">
      <c r="A424" s="5" t="s">
        <v>399</v>
      </c>
    </row>
    <row r="425" spans="1:1">
      <c r="A425" s="1"/>
    </row>
    <row r="426" spans="1:1" ht="17">
      <c r="A426" s="2" t="s">
        <v>400</v>
      </c>
    </row>
    <row r="427" spans="1:1" ht="17">
      <c r="A427" s="3" t="s">
        <v>401</v>
      </c>
    </row>
    <row r="428" spans="1:1" ht="16">
      <c r="A428" s="4" t="s">
        <v>402</v>
      </c>
    </row>
    <row r="429" spans="1:1" ht="16">
      <c r="A429" s="5" t="s">
        <v>403</v>
      </c>
    </row>
    <row r="430" spans="1:1">
      <c r="A430" s="1"/>
    </row>
    <row r="431" spans="1:1" ht="17">
      <c r="A431" s="2" t="s">
        <v>404</v>
      </c>
    </row>
    <row r="432" spans="1:1" ht="17">
      <c r="A432" s="3" t="s">
        <v>405</v>
      </c>
    </row>
    <row r="433" spans="1:1" ht="16">
      <c r="A433" s="4" t="s">
        <v>406</v>
      </c>
    </row>
    <row r="434" spans="1:1" ht="16">
      <c r="A434" s="5" t="s">
        <v>407</v>
      </c>
    </row>
    <row r="435" spans="1:1">
      <c r="A435" s="1"/>
    </row>
    <row r="436" spans="1:1" ht="17">
      <c r="A436" s="2" t="s">
        <v>408</v>
      </c>
    </row>
    <row r="437" spans="1:1" ht="17">
      <c r="A437" s="3" t="s">
        <v>409</v>
      </c>
    </row>
    <row r="438" spans="1:1" ht="16">
      <c r="A438" s="4" t="s">
        <v>410</v>
      </c>
    </row>
    <row r="439" spans="1:1" ht="16">
      <c r="A439" s="5" t="s">
        <v>411</v>
      </c>
    </row>
    <row r="440" spans="1:1">
      <c r="A440" s="1"/>
    </row>
    <row r="441" spans="1:1" ht="17">
      <c r="A441" s="2" t="s">
        <v>412</v>
      </c>
    </row>
    <row r="442" spans="1:1" ht="17">
      <c r="A442" s="3" t="s">
        <v>413</v>
      </c>
    </row>
    <row r="443" spans="1:1" ht="16">
      <c r="A443" s="4" t="s">
        <v>414</v>
      </c>
    </row>
    <row r="444" spans="1:1" ht="16">
      <c r="A444" s="5" t="s">
        <v>415</v>
      </c>
    </row>
    <row r="445" spans="1:1">
      <c r="A445" s="1"/>
    </row>
    <row r="446" spans="1:1" ht="17">
      <c r="A446" s="2" t="s">
        <v>416</v>
      </c>
    </row>
    <row r="447" spans="1:1" ht="17">
      <c r="A447" s="3" t="s">
        <v>417</v>
      </c>
    </row>
    <row r="448" spans="1:1" ht="16">
      <c r="A448" s="4" t="s">
        <v>418</v>
      </c>
    </row>
    <row r="449" spans="1:1" ht="16">
      <c r="A449" s="5" t="s">
        <v>419</v>
      </c>
    </row>
    <row r="450" spans="1:1">
      <c r="A450" s="1"/>
    </row>
    <row r="451" spans="1:1" ht="17">
      <c r="A451" s="2" t="s">
        <v>420</v>
      </c>
    </row>
    <row r="452" spans="1:1" ht="17">
      <c r="A452" s="3" t="s">
        <v>421</v>
      </c>
    </row>
    <row r="453" spans="1:1" ht="16">
      <c r="A453" s="4" t="s">
        <v>422</v>
      </c>
    </row>
    <row r="454" spans="1:1" ht="16">
      <c r="A454" s="5" t="s">
        <v>423</v>
      </c>
    </row>
    <row r="455" spans="1:1">
      <c r="A455" s="1"/>
    </row>
    <row r="456" spans="1:1" ht="17">
      <c r="A456" s="2" t="s">
        <v>424</v>
      </c>
    </row>
    <row r="457" spans="1:1" ht="17">
      <c r="A457" s="3" t="s">
        <v>425</v>
      </c>
    </row>
    <row r="458" spans="1:1" ht="16">
      <c r="A458" s="4" t="s">
        <v>426</v>
      </c>
    </row>
    <row r="459" spans="1:1" ht="16">
      <c r="A459" s="5" t="s">
        <v>427</v>
      </c>
    </row>
    <row r="460" spans="1:1">
      <c r="A460" s="1"/>
    </row>
    <row r="461" spans="1:1" ht="17">
      <c r="A461" s="2" t="s">
        <v>428</v>
      </c>
    </row>
    <row r="462" spans="1:1" ht="17">
      <c r="A462" s="3" t="s">
        <v>429</v>
      </c>
    </row>
    <row r="463" spans="1:1" ht="16">
      <c r="A463" s="4" t="s">
        <v>430</v>
      </c>
    </row>
    <row r="464" spans="1:1" ht="16">
      <c r="A464" s="5" t="s">
        <v>431</v>
      </c>
    </row>
    <row r="465" spans="1:1">
      <c r="A465" s="1"/>
    </row>
    <row r="466" spans="1:1" ht="17">
      <c r="A466" s="2" t="s">
        <v>432</v>
      </c>
    </row>
    <row r="467" spans="1:1" ht="17">
      <c r="A467" s="3" t="s">
        <v>433</v>
      </c>
    </row>
    <row r="468" spans="1:1" ht="16">
      <c r="A468" s="4" t="s">
        <v>434</v>
      </c>
    </row>
    <row r="469" spans="1:1" ht="16">
      <c r="A469" s="5" t="s">
        <v>435</v>
      </c>
    </row>
    <row r="470" spans="1:1">
      <c r="A470" s="1"/>
    </row>
    <row r="471" spans="1:1" ht="17">
      <c r="A471" s="2" t="s">
        <v>412</v>
      </c>
    </row>
    <row r="472" spans="1:1" ht="17">
      <c r="A472" s="3" t="s">
        <v>413</v>
      </c>
    </row>
    <row r="473" spans="1:1" ht="16">
      <c r="A473" s="4" t="s">
        <v>414</v>
      </c>
    </row>
    <row r="474" spans="1:1" ht="16">
      <c r="A474" s="5" t="s">
        <v>415</v>
      </c>
    </row>
    <row r="475" spans="1:1">
      <c r="A475" s="1"/>
    </row>
    <row r="476" spans="1:1" ht="17">
      <c r="A476" s="2" t="s">
        <v>436</v>
      </c>
    </row>
    <row r="477" spans="1:1" ht="17">
      <c r="A477" s="3" t="s">
        <v>437</v>
      </c>
    </row>
    <row r="478" spans="1:1" ht="16">
      <c r="A478" s="4" t="s">
        <v>438</v>
      </c>
    </row>
    <row r="479" spans="1:1" ht="16">
      <c r="A479" s="5" t="s">
        <v>439</v>
      </c>
    </row>
    <row r="480" spans="1:1">
      <c r="A480" s="1"/>
    </row>
    <row r="481" spans="1:1" ht="17">
      <c r="A481" s="2" t="s">
        <v>440</v>
      </c>
    </row>
    <row r="482" spans="1:1" ht="17">
      <c r="A482" s="3" t="s">
        <v>441</v>
      </c>
    </row>
    <row r="483" spans="1:1" ht="16">
      <c r="A483" s="4" t="s">
        <v>442</v>
      </c>
    </row>
    <row r="484" spans="1:1" ht="16">
      <c r="A484" s="5" t="s">
        <v>443</v>
      </c>
    </row>
    <row r="485" spans="1:1">
      <c r="A485" s="1"/>
    </row>
    <row r="486" spans="1:1" ht="17">
      <c r="A486" s="2" t="s">
        <v>444</v>
      </c>
    </row>
    <row r="487" spans="1:1" ht="17">
      <c r="A487" s="3" t="s">
        <v>445</v>
      </c>
    </row>
    <row r="488" spans="1:1" ht="16">
      <c r="A488" s="4" t="s">
        <v>446</v>
      </c>
    </row>
    <row r="489" spans="1:1" ht="16">
      <c r="A489" s="5" t="s">
        <v>447</v>
      </c>
    </row>
    <row r="490" spans="1:1">
      <c r="A490" s="1"/>
    </row>
    <row r="491" spans="1:1" ht="17">
      <c r="A491" s="2" t="s">
        <v>448</v>
      </c>
    </row>
    <row r="492" spans="1:1" ht="17">
      <c r="A492" s="3" t="s">
        <v>449</v>
      </c>
    </row>
    <row r="493" spans="1:1" ht="16">
      <c r="A493" s="4" t="s">
        <v>450</v>
      </c>
    </row>
    <row r="494" spans="1:1" ht="16">
      <c r="A494" s="5" t="s">
        <v>451</v>
      </c>
    </row>
    <row r="495" spans="1:1">
      <c r="A495" s="1"/>
    </row>
    <row r="496" spans="1:1" ht="17">
      <c r="A496" s="2" t="s">
        <v>452</v>
      </c>
    </row>
    <row r="497" spans="1:1" ht="17">
      <c r="A497" s="3" t="s">
        <v>453</v>
      </c>
    </row>
    <row r="498" spans="1:1" ht="16">
      <c r="A498" s="4" t="s">
        <v>454</v>
      </c>
    </row>
    <row r="499" spans="1:1" ht="16">
      <c r="A499" s="5" t="s">
        <v>455</v>
      </c>
    </row>
    <row r="500" spans="1:1">
      <c r="A500" s="1"/>
    </row>
    <row r="501" spans="1:1" ht="17">
      <c r="A501" s="2" t="s">
        <v>412</v>
      </c>
    </row>
    <row r="502" spans="1:1" ht="17">
      <c r="A502" s="3" t="s">
        <v>413</v>
      </c>
    </row>
    <row r="503" spans="1:1" ht="16">
      <c r="A503" s="4" t="s">
        <v>414</v>
      </c>
    </row>
    <row r="504" spans="1:1" ht="16">
      <c r="A504" s="5" t="s">
        <v>415</v>
      </c>
    </row>
    <row r="505" spans="1:1">
      <c r="A505" s="1"/>
    </row>
    <row r="506" spans="1:1" ht="17">
      <c r="A506" s="2" t="s">
        <v>456</v>
      </c>
    </row>
    <row r="507" spans="1:1" ht="17">
      <c r="A507" s="3" t="s">
        <v>457</v>
      </c>
    </row>
    <row r="508" spans="1:1" ht="16">
      <c r="A508" s="4" t="s">
        <v>458</v>
      </c>
    </row>
    <row r="509" spans="1:1" ht="16">
      <c r="A509" s="5" t="s">
        <v>459</v>
      </c>
    </row>
    <row r="510" spans="1:1">
      <c r="A510" s="1"/>
    </row>
    <row r="511" spans="1:1" ht="17">
      <c r="A511" s="2" t="s">
        <v>460</v>
      </c>
    </row>
    <row r="512" spans="1:1" ht="17">
      <c r="A512" s="3" t="s">
        <v>461</v>
      </c>
    </row>
    <row r="513" spans="1:1" ht="16">
      <c r="A513" s="4" t="s">
        <v>462</v>
      </c>
    </row>
    <row r="514" spans="1:1" ht="16">
      <c r="A514" s="5" t="s">
        <v>463</v>
      </c>
    </row>
    <row r="515" spans="1:1">
      <c r="A515" s="1"/>
    </row>
    <row r="516" spans="1:1" ht="17">
      <c r="A516" s="2" t="s">
        <v>464</v>
      </c>
    </row>
    <row r="517" spans="1:1" ht="17">
      <c r="A517" s="3" t="s">
        <v>465</v>
      </c>
    </row>
    <row r="518" spans="1:1" ht="16">
      <c r="A518" s="4" t="s">
        <v>466</v>
      </c>
    </row>
    <row r="519" spans="1:1" ht="16">
      <c r="A519" s="5" t="s">
        <v>467</v>
      </c>
    </row>
    <row r="520" spans="1:1">
      <c r="A520" s="1"/>
    </row>
    <row r="521" spans="1:1" ht="17">
      <c r="A521" s="2" t="s">
        <v>468</v>
      </c>
    </row>
    <row r="522" spans="1:1" ht="17">
      <c r="A522" s="3" t="s">
        <v>469</v>
      </c>
    </row>
    <row r="523" spans="1:1" ht="16">
      <c r="A523" s="4" t="s">
        <v>470</v>
      </c>
    </row>
    <row r="524" spans="1:1" ht="16">
      <c r="A524" s="5" t="s">
        <v>471</v>
      </c>
    </row>
    <row r="525" spans="1:1">
      <c r="A525" s="1"/>
    </row>
    <row r="526" spans="1:1" ht="17">
      <c r="A526" s="2" t="s">
        <v>472</v>
      </c>
    </row>
    <row r="527" spans="1:1" ht="17">
      <c r="A527" s="3" t="s">
        <v>473</v>
      </c>
    </row>
    <row r="528" spans="1:1" ht="16">
      <c r="A528" s="4" t="s">
        <v>474</v>
      </c>
    </row>
    <row r="529" spans="1:1" ht="16">
      <c r="A529" s="5" t="s">
        <v>475</v>
      </c>
    </row>
    <row r="530" spans="1:1">
      <c r="A530" s="1"/>
    </row>
    <row r="531" spans="1:1" ht="17">
      <c r="A531" s="2" t="s">
        <v>412</v>
      </c>
    </row>
    <row r="532" spans="1:1" ht="17">
      <c r="A532" s="3" t="s">
        <v>413</v>
      </c>
    </row>
    <row r="533" spans="1:1" ht="16">
      <c r="A533" s="4" t="s">
        <v>414</v>
      </c>
    </row>
    <row r="534" spans="1:1" ht="16">
      <c r="A534" s="5" t="s">
        <v>415</v>
      </c>
    </row>
    <row r="535" spans="1:1">
      <c r="A535" s="1"/>
    </row>
    <row r="536" spans="1:1" ht="17">
      <c r="A536" s="2" t="s">
        <v>476</v>
      </c>
    </row>
    <row r="537" spans="1:1" ht="17">
      <c r="A537" s="3" t="s">
        <v>477</v>
      </c>
    </row>
    <row r="538" spans="1:1" ht="16">
      <c r="A538" s="4" t="s">
        <v>478</v>
      </c>
    </row>
    <row r="539" spans="1:1" ht="16">
      <c r="A539" s="5" t="s">
        <v>479</v>
      </c>
    </row>
    <row r="540" spans="1:1">
      <c r="A540" s="1"/>
    </row>
    <row r="541" spans="1:1" ht="17">
      <c r="A541" s="2" t="s">
        <v>480</v>
      </c>
    </row>
    <row r="542" spans="1:1" ht="17">
      <c r="A542" s="3" t="s">
        <v>481</v>
      </c>
    </row>
    <row r="543" spans="1:1" ht="16">
      <c r="A543" s="4" t="s">
        <v>482</v>
      </c>
    </row>
    <row r="544" spans="1:1" ht="16">
      <c r="A544" s="5" t="s">
        <v>483</v>
      </c>
    </row>
    <row r="545" spans="1:1">
      <c r="A545" s="1"/>
    </row>
    <row r="546" spans="1:1" ht="17">
      <c r="A546" s="2" t="s">
        <v>484</v>
      </c>
    </row>
    <row r="547" spans="1:1" ht="17">
      <c r="A547" s="3" t="s">
        <v>485</v>
      </c>
    </row>
    <row r="548" spans="1:1" ht="16">
      <c r="A548" s="4" t="s">
        <v>486</v>
      </c>
    </row>
    <row r="549" spans="1:1" ht="16">
      <c r="A549" s="5" t="s">
        <v>487</v>
      </c>
    </row>
    <row r="550" spans="1:1">
      <c r="A550" s="1"/>
    </row>
    <row r="551" spans="1:1" ht="17">
      <c r="A551" s="2" t="s">
        <v>488</v>
      </c>
    </row>
    <row r="552" spans="1:1" ht="17">
      <c r="A552" s="3" t="s">
        <v>489</v>
      </c>
    </row>
    <row r="553" spans="1:1" ht="16">
      <c r="A553" s="4" t="s">
        <v>490</v>
      </c>
    </row>
    <row r="554" spans="1:1" ht="16">
      <c r="A554" s="5" t="s">
        <v>491</v>
      </c>
    </row>
    <row r="555" spans="1:1">
      <c r="A555" s="1"/>
    </row>
    <row r="556" spans="1:1" ht="17">
      <c r="A556" s="2" t="s">
        <v>492</v>
      </c>
    </row>
    <row r="557" spans="1:1" ht="17">
      <c r="A557" s="3" t="s">
        <v>493</v>
      </c>
    </row>
    <row r="558" spans="1:1" ht="16">
      <c r="A558" s="4" t="s">
        <v>494</v>
      </c>
    </row>
    <row r="559" spans="1:1" ht="16">
      <c r="A559" s="5" t="s">
        <v>495</v>
      </c>
    </row>
    <row r="560" spans="1:1">
      <c r="A560" s="1"/>
    </row>
    <row r="561" spans="1:1" ht="17">
      <c r="A561" s="2" t="s">
        <v>496</v>
      </c>
    </row>
    <row r="562" spans="1:1" ht="17">
      <c r="A562" s="3" t="s">
        <v>497</v>
      </c>
    </row>
    <row r="563" spans="1:1" ht="16">
      <c r="A563" s="4" t="s">
        <v>498</v>
      </c>
    </row>
    <row r="564" spans="1:1" ht="16">
      <c r="A564" s="5" t="s">
        <v>499</v>
      </c>
    </row>
    <row r="565" spans="1:1">
      <c r="A565" s="1"/>
    </row>
    <row r="566" spans="1:1" ht="17">
      <c r="A566" s="2" t="s">
        <v>500</v>
      </c>
    </row>
    <row r="567" spans="1:1" ht="17">
      <c r="A567" s="3" t="s">
        <v>501</v>
      </c>
    </row>
    <row r="568" spans="1:1" ht="16">
      <c r="A568" s="4" t="s">
        <v>502</v>
      </c>
    </row>
    <row r="569" spans="1:1" ht="16">
      <c r="A569" s="5" t="s">
        <v>503</v>
      </c>
    </row>
    <row r="570" spans="1:1">
      <c r="A570" s="1"/>
    </row>
    <row r="571" spans="1:1" ht="17">
      <c r="A571" s="2" t="s">
        <v>504</v>
      </c>
    </row>
    <row r="572" spans="1:1" ht="17">
      <c r="A572" s="3" t="s">
        <v>505</v>
      </c>
    </row>
    <row r="573" spans="1:1" ht="16">
      <c r="A573" s="4" t="s">
        <v>506</v>
      </c>
    </row>
    <row r="574" spans="1:1" ht="16">
      <c r="A574" s="5" t="s">
        <v>507</v>
      </c>
    </row>
    <row r="575" spans="1:1">
      <c r="A575" s="1"/>
    </row>
    <row r="576" spans="1:1" ht="17">
      <c r="A576" s="2" t="s">
        <v>508</v>
      </c>
    </row>
    <row r="577" spans="1:1" ht="17">
      <c r="A577" s="3" t="s">
        <v>509</v>
      </c>
    </row>
    <row r="578" spans="1:1" ht="16">
      <c r="A578" s="4" t="s">
        <v>510</v>
      </c>
    </row>
    <row r="579" spans="1:1" ht="16">
      <c r="A579" s="5" t="s">
        <v>511</v>
      </c>
    </row>
    <row r="580" spans="1:1">
      <c r="A580" s="1"/>
    </row>
    <row r="581" spans="1:1" ht="17">
      <c r="A581" s="2" t="s">
        <v>512</v>
      </c>
    </row>
    <row r="582" spans="1:1" ht="17">
      <c r="A582" s="3" t="s">
        <v>513</v>
      </c>
    </row>
    <row r="583" spans="1:1" ht="16">
      <c r="A583" s="4" t="s">
        <v>514</v>
      </c>
    </row>
    <row r="584" spans="1:1" ht="16">
      <c r="A584" s="5" t="s">
        <v>515</v>
      </c>
    </row>
    <row r="585" spans="1:1">
      <c r="A585" s="1"/>
    </row>
    <row r="586" spans="1:1" ht="17">
      <c r="A586" s="2" t="s">
        <v>516</v>
      </c>
    </row>
    <row r="587" spans="1:1" ht="17">
      <c r="A587" s="3" t="s">
        <v>517</v>
      </c>
    </row>
    <row r="588" spans="1:1" ht="16">
      <c r="A588" s="4" t="s">
        <v>518</v>
      </c>
    </row>
    <row r="589" spans="1:1" ht="16">
      <c r="A589" s="5" t="s">
        <v>519</v>
      </c>
    </row>
    <row r="590" spans="1:1">
      <c r="A590" s="1"/>
    </row>
    <row r="591" spans="1:1" ht="17">
      <c r="A591" s="2" t="s">
        <v>520</v>
      </c>
    </row>
    <row r="592" spans="1:1" ht="17">
      <c r="A592" s="3" t="s">
        <v>521</v>
      </c>
    </row>
    <row r="593" spans="1:1" ht="16">
      <c r="A593" s="4" t="s">
        <v>522</v>
      </c>
    </row>
    <row r="594" spans="1:1" ht="16">
      <c r="A594" s="5" t="s">
        <v>523</v>
      </c>
    </row>
    <row r="595" spans="1:1">
      <c r="A595" s="1"/>
    </row>
    <row r="596" spans="1:1" ht="17">
      <c r="A596" s="2" t="s">
        <v>524</v>
      </c>
    </row>
    <row r="597" spans="1:1" ht="17">
      <c r="A597" s="3" t="s">
        <v>525</v>
      </c>
    </row>
    <row r="598" spans="1:1" ht="16">
      <c r="A598" s="4" t="s">
        <v>526</v>
      </c>
    </row>
    <row r="599" spans="1:1" ht="16">
      <c r="A599" s="5" t="s">
        <v>527</v>
      </c>
    </row>
    <row r="600" spans="1:1">
      <c r="A600" s="1"/>
    </row>
    <row r="601" spans="1:1" ht="17">
      <c r="A601" s="2" t="s">
        <v>528</v>
      </c>
    </row>
    <row r="602" spans="1:1" ht="17">
      <c r="A602" s="3" t="s">
        <v>529</v>
      </c>
    </row>
    <row r="603" spans="1:1" ht="16">
      <c r="A603" s="4" t="s">
        <v>530</v>
      </c>
    </row>
    <row r="604" spans="1:1" ht="16">
      <c r="A604" s="5" t="s">
        <v>531</v>
      </c>
    </row>
    <row r="605" spans="1:1">
      <c r="A605" s="1"/>
    </row>
    <row r="606" spans="1:1" ht="17">
      <c r="A606" s="2" t="s">
        <v>532</v>
      </c>
    </row>
    <row r="607" spans="1:1" ht="17">
      <c r="A607" s="3" t="s">
        <v>533</v>
      </c>
    </row>
    <row r="608" spans="1:1" ht="16">
      <c r="A608" s="4" t="s">
        <v>534</v>
      </c>
    </row>
    <row r="609" spans="1:1" ht="16">
      <c r="A609" s="5" t="s">
        <v>535</v>
      </c>
    </row>
    <row r="610" spans="1:1">
      <c r="A610" s="1"/>
    </row>
    <row r="611" spans="1:1" ht="17">
      <c r="A611" s="2" t="s">
        <v>536</v>
      </c>
    </row>
    <row r="612" spans="1:1" ht="17">
      <c r="A612" s="3" t="s">
        <v>537</v>
      </c>
    </row>
    <row r="613" spans="1:1" ht="16">
      <c r="A613" s="4" t="s">
        <v>538</v>
      </c>
    </row>
    <row r="614" spans="1:1" ht="16">
      <c r="A614" s="5" t="s">
        <v>539</v>
      </c>
    </row>
    <row r="615" spans="1:1">
      <c r="A615" s="1"/>
    </row>
    <row r="616" spans="1:1" ht="17">
      <c r="A616" s="2" t="s">
        <v>540</v>
      </c>
    </row>
    <row r="617" spans="1:1" ht="17">
      <c r="A617" s="3" t="s">
        <v>541</v>
      </c>
    </row>
    <row r="618" spans="1:1" ht="16">
      <c r="A618" s="4" t="s">
        <v>542</v>
      </c>
    </row>
    <row r="619" spans="1:1" ht="16">
      <c r="A619" s="5" t="s">
        <v>543</v>
      </c>
    </row>
    <row r="620" spans="1:1">
      <c r="A620" s="1"/>
    </row>
    <row r="621" spans="1:1" ht="17">
      <c r="A621" s="2" t="s">
        <v>544</v>
      </c>
    </row>
    <row r="622" spans="1:1" ht="17">
      <c r="A622" s="3" t="s">
        <v>545</v>
      </c>
    </row>
    <row r="623" spans="1:1" ht="16">
      <c r="A623" s="4" t="s">
        <v>546</v>
      </c>
    </row>
    <row r="624" spans="1:1" ht="16">
      <c r="A624" s="5" t="s">
        <v>547</v>
      </c>
    </row>
    <row r="625" spans="1:1">
      <c r="A625" s="1"/>
    </row>
    <row r="626" spans="1:1" ht="17">
      <c r="A626" s="2" t="s">
        <v>548</v>
      </c>
    </row>
    <row r="627" spans="1:1" ht="17">
      <c r="A627" s="3" t="s">
        <v>549</v>
      </c>
    </row>
    <row r="628" spans="1:1" ht="16">
      <c r="A628" s="4" t="s">
        <v>550</v>
      </c>
    </row>
    <row r="629" spans="1:1" ht="16">
      <c r="A629" s="5" t="s">
        <v>551</v>
      </c>
    </row>
    <row r="630" spans="1:1">
      <c r="A630" s="1"/>
    </row>
    <row r="631" spans="1:1" ht="17">
      <c r="A631" s="2" t="s">
        <v>552</v>
      </c>
    </row>
    <row r="632" spans="1:1" ht="17">
      <c r="A632" s="3" t="s">
        <v>553</v>
      </c>
    </row>
    <row r="633" spans="1:1" ht="16">
      <c r="A633" s="4" t="s">
        <v>554</v>
      </c>
    </row>
    <row r="634" spans="1:1" ht="16">
      <c r="A634" s="5" t="s">
        <v>555</v>
      </c>
    </row>
    <row r="635" spans="1:1">
      <c r="A635" s="1"/>
    </row>
    <row r="636" spans="1:1" ht="17">
      <c r="A636" s="2" t="s">
        <v>556</v>
      </c>
    </row>
    <row r="637" spans="1:1" ht="17">
      <c r="A637" s="3" t="s">
        <v>557</v>
      </c>
    </row>
    <row r="638" spans="1:1" ht="16">
      <c r="A638" s="4" t="s">
        <v>558</v>
      </c>
    </row>
    <row r="639" spans="1:1" ht="16">
      <c r="A639" s="5" t="s">
        <v>559</v>
      </c>
    </row>
    <row r="640" spans="1:1">
      <c r="A640" s="1"/>
    </row>
    <row r="641" spans="1:1" ht="17">
      <c r="A641" s="2" t="s">
        <v>560</v>
      </c>
    </row>
    <row r="642" spans="1:1" ht="17">
      <c r="A642" s="3" t="s">
        <v>561</v>
      </c>
    </row>
    <row r="643" spans="1:1" ht="16">
      <c r="A643" s="4" t="s">
        <v>562</v>
      </c>
    </row>
    <row r="644" spans="1:1" ht="16">
      <c r="A644" s="5" t="s">
        <v>563</v>
      </c>
    </row>
    <row r="645" spans="1:1">
      <c r="A645" s="1"/>
    </row>
    <row r="646" spans="1:1" ht="17">
      <c r="A646" s="2" t="s">
        <v>564</v>
      </c>
    </row>
    <row r="647" spans="1:1" ht="17">
      <c r="A647" s="3" t="s">
        <v>565</v>
      </c>
    </row>
    <row r="648" spans="1:1" ht="16">
      <c r="A648" s="4" t="s">
        <v>566</v>
      </c>
    </row>
    <row r="649" spans="1:1" ht="16">
      <c r="A649" s="5" t="s">
        <v>567</v>
      </c>
    </row>
    <row r="650" spans="1:1">
      <c r="A650" s="1"/>
    </row>
    <row r="651" spans="1:1" ht="17">
      <c r="A651" s="2" t="s">
        <v>568</v>
      </c>
    </row>
    <row r="652" spans="1:1" ht="17">
      <c r="A652" s="3" t="s">
        <v>569</v>
      </c>
    </row>
    <row r="653" spans="1:1" ht="16">
      <c r="A653" s="4" t="s">
        <v>570</v>
      </c>
    </row>
    <row r="654" spans="1:1" ht="16">
      <c r="A654" s="5" t="s">
        <v>571</v>
      </c>
    </row>
    <row r="655" spans="1:1">
      <c r="A655" s="1"/>
    </row>
    <row r="656" spans="1:1" ht="17">
      <c r="A656" s="2" t="s">
        <v>572</v>
      </c>
    </row>
    <row r="657" spans="1:1" ht="17">
      <c r="A657" s="3" t="s">
        <v>573</v>
      </c>
    </row>
    <row r="658" spans="1:1" ht="16">
      <c r="A658" s="4" t="s">
        <v>574</v>
      </c>
    </row>
    <row r="659" spans="1:1" ht="16">
      <c r="A659" s="5" t="s">
        <v>575</v>
      </c>
    </row>
    <row r="660" spans="1:1">
      <c r="A660" s="1"/>
    </row>
    <row r="661" spans="1:1" ht="17">
      <c r="A661" s="2" t="s">
        <v>576</v>
      </c>
    </row>
    <row r="662" spans="1:1" ht="17">
      <c r="A662" s="3" t="s">
        <v>577</v>
      </c>
    </row>
    <row r="663" spans="1:1" ht="16">
      <c r="A663" s="4" t="s">
        <v>578</v>
      </c>
    </row>
    <row r="664" spans="1:1" ht="16">
      <c r="A664" s="5" t="s">
        <v>579</v>
      </c>
    </row>
    <row r="665" spans="1:1">
      <c r="A665" s="1"/>
    </row>
    <row r="666" spans="1:1" ht="17">
      <c r="A666" s="2" t="s">
        <v>580</v>
      </c>
    </row>
    <row r="667" spans="1:1" ht="17">
      <c r="A667" s="3" t="s">
        <v>581</v>
      </c>
    </row>
    <row r="668" spans="1:1" ht="16">
      <c r="A668" s="4" t="s">
        <v>582</v>
      </c>
    </row>
    <row r="669" spans="1:1" ht="16">
      <c r="A669" s="5" t="s">
        <v>583</v>
      </c>
    </row>
    <row r="670" spans="1:1">
      <c r="A670" s="1"/>
    </row>
    <row r="671" spans="1:1" ht="17">
      <c r="A671" s="2" t="s">
        <v>584</v>
      </c>
    </row>
    <row r="672" spans="1:1" ht="17">
      <c r="A672" s="3" t="s">
        <v>585</v>
      </c>
    </row>
    <row r="673" spans="1:1" ht="16">
      <c r="A673" s="4" t="s">
        <v>586</v>
      </c>
    </row>
    <row r="674" spans="1:1" ht="16">
      <c r="A674" s="5" t="s">
        <v>587</v>
      </c>
    </row>
    <row r="675" spans="1:1">
      <c r="A675" s="1"/>
    </row>
    <row r="676" spans="1:1" ht="17">
      <c r="A676" s="2" t="s">
        <v>588</v>
      </c>
    </row>
    <row r="677" spans="1:1" ht="17">
      <c r="A677" s="3" t="s">
        <v>589</v>
      </c>
    </row>
    <row r="678" spans="1:1" ht="16">
      <c r="A678" s="4" t="s">
        <v>590</v>
      </c>
    </row>
    <row r="679" spans="1:1" ht="16">
      <c r="A679" s="5" t="s">
        <v>591</v>
      </c>
    </row>
    <row r="681" spans="1:1" ht="16">
      <c r="A681" s="16" t="s">
        <v>673</v>
      </c>
    </row>
    <row r="682" spans="1:1" ht="16">
      <c r="A682" s="17" t="s">
        <v>674</v>
      </c>
    </row>
    <row r="683" spans="1:1" ht="16">
      <c r="A683" s="18" t="s">
        <v>675</v>
      </c>
    </row>
    <row r="684" spans="1:1" ht="16">
      <c r="A684" s="19" t="s">
        <v>676</v>
      </c>
    </row>
    <row r="685" spans="1:1">
      <c r="A685" s="20"/>
    </row>
    <row r="686" spans="1:1" ht="16">
      <c r="A686" s="16" t="s">
        <v>677</v>
      </c>
    </row>
    <row r="687" spans="1:1" ht="16">
      <c r="A687" s="17" t="s">
        <v>678</v>
      </c>
    </row>
    <row r="688" spans="1:1" ht="16">
      <c r="A688" s="18" t="s">
        <v>679</v>
      </c>
    </row>
    <row r="689" spans="1:1" ht="16">
      <c r="A689" s="19" t="s">
        <v>680</v>
      </c>
    </row>
    <row r="690" spans="1:1">
      <c r="A690" s="20"/>
    </row>
    <row r="691" spans="1:1" ht="16">
      <c r="A691" s="16" t="s">
        <v>681</v>
      </c>
    </row>
    <row r="692" spans="1:1" ht="16">
      <c r="A692" s="17" t="s">
        <v>682</v>
      </c>
    </row>
    <row r="693" spans="1:1" ht="16">
      <c r="A693" s="18" t="s">
        <v>683</v>
      </c>
    </row>
    <row r="694" spans="1:1" ht="16">
      <c r="A694" s="19" t="s">
        <v>684</v>
      </c>
    </row>
    <row r="695" spans="1:1">
      <c r="A695" s="20"/>
    </row>
    <row r="696" spans="1:1" ht="16">
      <c r="A696" s="16" t="s">
        <v>685</v>
      </c>
    </row>
    <row r="697" spans="1:1" ht="16">
      <c r="A697" s="17" t="s">
        <v>686</v>
      </c>
    </row>
    <row r="698" spans="1:1" ht="16">
      <c r="A698" s="18" t="s">
        <v>687</v>
      </c>
    </row>
    <row r="699" spans="1:1" ht="16">
      <c r="A699" s="19" t="s">
        <v>688</v>
      </c>
    </row>
    <row r="700" spans="1:1">
      <c r="A700" s="20"/>
    </row>
    <row r="701" spans="1:1" ht="16">
      <c r="A701" s="16" t="s">
        <v>560</v>
      </c>
    </row>
    <row r="702" spans="1:1" ht="16">
      <c r="A702" s="17" t="s">
        <v>561</v>
      </c>
    </row>
    <row r="703" spans="1:1" ht="16">
      <c r="A703" s="18" t="s">
        <v>562</v>
      </c>
    </row>
    <row r="704" spans="1:1" ht="16">
      <c r="A704" s="19" t="s">
        <v>563</v>
      </c>
    </row>
    <row r="705" spans="1:1">
      <c r="A705" s="20"/>
    </row>
    <row r="706" spans="1:1" ht="16">
      <c r="A706" s="16" t="s">
        <v>564</v>
      </c>
    </row>
    <row r="707" spans="1:1" ht="16">
      <c r="A707" s="17" t="s">
        <v>565</v>
      </c>
    </row>
    <row r="708" spans="1:1" ht="16">
      <c r="A708" s="18" t="s">
        <v>566</v>
      </c>
    </row>
    <row r="709" spans="1:1" ht="16">
      <c r="A709" s="19" t="s">
        <v>567</v>
      </c>
    </row>
    <row r="710" spans="1:1">
      <c r="A710" s="20"/>
    </row>
    <row r="711" spans="1:1" ht="16">
      <c r="A711" s="16" t="s">
        <v>568</v>
      </c>
    </row>
    <row r="712" spans="1:1" ht="16">
      <c r="A712" s="17" t="s">
        <v>569</v>
      </c>
    </row>
    <row r="713" spans="1:1" ht="16">
      <c r="A713" s="18" t="s">
        <v>570</v>
      </c>
    </row>
    <row r="714" spans="1:1" ht="16">
      <c r="A714" s="19" t="s">
        <v>571</v>
      </c>
    </row>
    <row r="715" spans="1:1">
      <c r="A715" s="20"/>
    </row>
    <row r="716" spans="1:1" ht="16">
      <c r="A716" s="16" t="s">
        <v>689</v>
      </c>
    </row>
    <row r="717" spans="1:1" ht="16">
      <c r="A717" s="17" t="s">
        <v>690</v>
      </c>
    </row>
    <row r="718" spans="1:1" ht="16">
      <c r="A718" s="18" t="s">
        <v>691</v>
      </c>
    </row>
    <row r="719" spans="1:1" ht="16">
      <c r="A719" s="19" t="s">
        <v>692</v>
      </c>
    </row>
    <row r="720" spans="1:1">
      <c r="A720" s="20"/>
    </row>
    <row r="721" spans="1:1" ht="16">
      <c r="A721" s="16" t="s">
        <v>693</v>
      </c>
    </row>
    <row r="722" spans="1:1" ht="16">
      <c r="A722" s="17" t="s">
        <v>694</v>
      </c>
    </row>
    <row r="723" spans="1:1" ht="16">
      <c r="A723" s="18" t="s">
        <v>695</v>
      </c>
    </row>
    <row r="724" spans="1:1" ht="16">
      <c r="A724" s="19" t="s">
        <v>696</v>
      </c>
    </row>
    <row r="725" spans="1:1">
      <c r="A725" s="20"/>
    </row>
    <row r="726" spans="1:1" ht="16">
      <c r="A726" s="16" t="s">
        <v>697</v>
      </c>
    </row>
    <row r="727" spans="1:1" ht="16">
      <c r="A727" s="17" t="s">
        <v>698</v>
      </c>
    </row>
    <row r="728" spans="1:1" ht="16">
      <c r="A728" s="18" t="s">
        <v>699</v>
      </c>
    </row>
    <row r="729" spans="1:1" ht="16">
      <c r="A729" s="19" t="s">
        <v>700</v>
      </c>
    </row>
    <row r="730" spans="1:1">
      <c r="A730" s="20"/>
    </row>
    <row r="731" spans="1:1" ht="16">
      <c r="A731" s="16" t="s">
        <v>701</v>
      </c>
    </row>
    <row r="732" spans="1:1" ht="16">
      <c r="A732" s="17" t="s">
        <v>702</v>
      </c>
    </row>
    <row r="733" spans="1:1" ht="16">
      <c r="A733" s="18" t="s">
        <v>703</v>
      </c>
    </row>
    <row r="734" spans="1:1" ht="16">
      <c r="A734" s="19" t="s">
        <v>704</v>
      </c>
    </row>
    <row r="735" spans="1:1">
      <c r="A735" s="20"/>
    </row>
    <row r="736" spans="1:1" ht="16">
      <c r="A736" s="16" t="s">
        <v>705</v>
      </c>
    </row>
    <row r="737" spans="1:1" ht="16">
      <c r="A737" s="17" t="s">
        <v>706</v>
      </c>
    </row>
    <row r="738" spans="1:1" ht="16">
      <c r="A738" s="18" t="s">
        <v>707</v>
      </c>
    </row>
    <row r="739" spans="1:1" ht="16">
      <c r="A739" s="19" t="s">
        <v>708</v>
      </c>
    </row>
    <row r="740" spans="1:1">
      <c r="A740" s="20"/>
    </row>
    <row r="741" spans="1:1" ht="16">
      <c r="A741" s="16" t="s">
        <v>709</v>
      </c>
    </row>
    <row r="742" spans="1:1" ht="16">
      <c r="A742" s="17" t="s">
        <v>710</v>
      </c>
    </row>
    <row r="743" spans="1:1" ht="16">
      <c r="A743" s="18" t="s">
        <v>711</v>
      </c>
    </row>
    <row r="744" spans="1:1" ht="16">
      <c r="A744" s="19" t="s">
        <v>712</v>
      </c>
    </row>
    <row r="745" spans="1:1">
      <c r="A745" s="20"/>
    </row>
    <row r="746" spans="1:1" ht="16">
      <c r="A746" s="16" t="s">
        <v>713</v>
      </c>
    </row>
    <row r="747" spans="1:1" ht="16">
      <c r="A747" s="17" t="s">
        <v>714</v>
      </c>
    </row>
    <row r="748" spans="1:1" ht="16">
      <c r="A748" s="18" t="s">
        <v>715</v>
      </c>
    </row>
    <row r="749" spans="1:1" ht="16">
      <c r="A749" s="19" t="s">
        <v>716</v>
      </c>
    </row>
    <row r="750" spans="1:1">
      <c r="A750" s="20"/>
    </row>
    <row r="751" spans="1:1" ht="16">
      <c r="A751" s="16" t="s">
        <v>717</v>
      </c>
    </row>
    <row r="752" spans="1:1" ht="16">
      <c r="A752" s="17" t="s">
        <v>718</v>
      </c>
    </row>
    <row r="753" spans="1:1" ht="16">
      <c r="A753" s="18" t="s">
        <v>719</v>
      </c>
    </row>
    <row r="754" spans="1:1" ht="16">
      <c r="A754" s="19" t="s">
        <v>720</v>
      </c>
    </row>
    <row r="755" spans="1:1">
      <c r="A755" s="20"/>
    </row>
    <row r="756" spans="1:1" ht="16">
      <c r="A756" s="16" t="s">
        <v>721</v>
      </c>
    </row>
    <row r="757" spans="1:1" ht="16">
      <c r="A757" s="17" t="s">
        <v>722</v>
      </c>
    </row>
    <row r="758" spans="1:1" ht="16">
      <c r="A758" s="18" t="s">
        <v>723</v>
      </c>
    </row>
    <row r="759" spans="1:1" ht="16">
      <c r="A759" s="19" t="s">
        <v>724</v>
      </c>
    </row>
    <row r="760" spans="1:1">
      <c r="A760" s="20"/>
    </row>
    <row r="761" spans="1:1" ht="16">
      <c r="A761" s="16" t="s">
        <v>725</v>
      </c>
    </row>
    <row r="762" spans="1:1" ht="16">
      <c r="A762" s="17" t="s">
        <v>726</v>
      </c>
    </row>
    <row r="763" spans="1:1" ht="16">
      <c r="A763" s="18" t="s">
        <v>727</v>
      </c>
    </row>
    <row r="764" spans="1:1" ht="16">
      <c r="A764" s="19" t="s">
        <v>728</v>
      </c>
    </row>
    <row r="765" spans="1:1">
      <c r="A765" s="20"/>
    </row>
    <row r="766" spans="1:1" ht="16">
      <c r="A766" s="16" t="s">
        <v>564</v>
      </c>
    </row>
    <row r="767" spans="1:1" ht="16">
      <c r="A767" s="17" t="s">
        <v>565</v>
      </c>
    </row>
    <row r="768" spans="1:1" ht="16">
      <c r="A768" s="18" t="s">
        <v>566</v>
      </c>
    </row>
    <row r="769" spans="1:1" ht="16">
      <c r="A769" s="19" t="s">
        <v>567</v>
      </c>
    </row>
    <row r="770" spans="1:1">
      <c r="A770" s="20"/>
    </row>
    <row r="771" spans="1:1" ht="16">
      <c r="A771" s="16" t="s">
        <v>568</v>
      </c>
    </row>
    <row r="772" spans="1:1" ht="16">
      <c r="A772" s="17" t="s">
        <v>569</v>
      </c>
    </row>
    <row r="773" spans="1:1" ht="16">
      <c r="A773" s="18" t="s">
        <v>570</v>
      </c>
    </row>
    <row r="774" spans="1:1" ht="16">
      <c r="A774" s="19" t="s">
        <v>571</v>
      </c>
    </row>
    <row r="775" spans="1:1">
      <c r="A775" s="20"/>
    </row>
    <row r="776" spans="1:1" ht="16">
      <c r="A776" s="16" t="s">
        <v>729</v>
      </c>
    </row>
    <row r="777" spans="1:1" ht="16">
      <c r="A777" s="17" t="s">
        <v>730</v>
      </c>
    </row>
    <row r="778" spans="1:1" ht="16">
      <c r="A778" s="18" t="s">
        <v>731</v>
      </c>
    </row>
    <row r="779" spans="1:1" ht="16">
      <c r="A779" s="19" t="s">
        <v>732</v>
      </c>
    </row>
    <row r="780" spans="1:1">
      <c r="A780" s="20"/>
    </row>
    <row r="781" spans="1:1" ht="16">
      <c r="A781" s="16" t="s">
        <v>733</v>
      </c>
    </row>
    <row r="782" spans="1:1" ht="16">
      <c r="A782" s="17" t="s">
        <v>734</v>
      </c>
    </row>
    <row r="783" spans="1:1" ht="16">
      <c r="A783" s="18" t="s">
        <v>735</v>
      </c>
    </row>
    <row r="784" spans="1:1" ht="16">
      <c r="A784" s="19" t="s">
        <v>736</v>
      </c>
    </row>
    <row r="785" spans="1:1">
      <c r="A785" s="20"/>
    </row>
    <row r="786" spans="1:1" ht="16">
      <c r="A786" s="16" t="s">
        <v>737</v>
      </c>
    </row>
    <row r="787" spans="1:1" ht="16">
      <c r="A787" s="17" t="s">
        <v>738</v>
      </c>
    </row>
    <row r="788" spans="1:1" ht="16">
      <c r="A788" s="18" t="s">
        <v>739</v>
      </c>
    </row>
    <row r="789" spans="1:1" ht="16">
      <c r="A789" s="19" t="s">
        <v>740</v>
      </c>
    </row>
    <row r="790" spans="1:1">
      <c r="A790" s="20"/>
    </row>
    <row r="791" spans="1:1" ht="16">
      <c r="A791" s="16" t="s">
        <v>741</v>
      </c>
    </row>
    <row r="792" spans="1:1" ht="16">
      <c r="A792" s="17" t="s">
        <v>742</v>
      </c>
    </row>
    <row r="793" spans="1:1" ht="16">
      <c r="A793" s="18" t="s">
        <v>743</v>
      </c>
    </row>
    <row r="794" spans="1:1" ht="16">
      <c r="A794" s="19" t="s">
        <v>744</v>
      </c>
    </row>
    <row r="795" spans="1:1">
      <c r="A795" s="20"/>
    </row>
    <row r="796" spans="1:1" ht="16">
      <c r="A796" s="16" t="s">
        <v>745</v>
      </c>
    </row>
    <row r="797" spans="1:1" ht="16">
      <c r="A797" s="17" t="s">
        <v>746</v>
      </c>
    </row>
    <row r="798" spans="1:1" ht="16">
      <c r="A798" s="18" t="s">
        <v>747</v>
      </c>
    </row>
    <row r="799" spans="1:1" ht="16">
      <c r="A799" s="19" t="s">
        <v>748</v>
      </c>
    </row>
    <row r="800" spans="1:1">
      <c r="A800" s="20"/>
    </row>
    <row r="801" spans="1:1" ht="16">
      <c r="A801" s="16" t="s">
        <v>749</v>
      </c>
    </row>
    <row r="802" spans="1:1" ht="16">
      <c r="A802" s="17" t="s">
        <v>750</v>
      </c>
    </row>
    <row r="803" spans="1:1" ht="16">
      <c r="A803" s="18" t="s">
        <v>751</v>
      </c>
    </row>
    <row r="804" spans="1:1" ht="16">
      <c r="A804" s="19" t="s">
        <v>752</v>
      </c>
    </row>
    <row r="805" spans="1:1">
      <c r="A805" s="20"/>
    </row>
    <row r="806" spans="1:1" ht="16">
      <c r="A806" s="16" t="s">
        <v>753</v>
      </c>
    </row>
    <row r="807" spans="1:1" ht="16">
      <c r="A807" s="17" t="s">
        <v>754</v>
      </c>
    </row>
    <row r="808" spans="1:1" ht="16">
      <c r="A808" s="18" t="s">
        <v>755</v>
      </c>
    </row>
    <row r="809" spans="1:1" ht="16">
      <c r="A809" s="19" t="s">
        <v>756</v>
      </c>
    </row>
    <row r="810" spans="1:1">
      <c r="A810" s="20"/>
    </row>
    <row r="811" spans="1:1" ht="16">
      <c r="A811" s="16" t="s">
        <v>757</v>
      </c>
    </row>
    <row r="812" spans="1:1" ht="16">
      <c r="A812" s="17" t="s">
        <v>758</v>
      </c>
    </row>
    <row r="813" spans="1:1" ht="16">
      <c r="A813" s="18" t="s">
        <v>759</v>
      </c>
    </row>
    <row r="814" spans="1:1" ht="16">
      <c r="A814" s="19" t="s">
        <v>760</v>
      </c>
    </row>
    <row r="815" spans="1:1">
      <c r="A815" s="20"/>
    </row>
    <row r="816" spans="1:1" ht="16">
      <c r="A816" s="16" t="s">
        <v>761</v>
      </c>
    </row>
    <row r="817" spans="1:1" ht="16">
      <c r="A817" s="17" t="s">
        <v>762</v>
      </c>
    </row>
    <row r="818" spans="1:1" ht="16">
      <c r="A818" s="18" t="s">
        <v>763</v>
      </c>
    </row>
    <row r="819" spans="1:1" ht="16">
      <c r="A819" s="19" t="s">
        <v>764</v>
      </c>
    </row>
    <row r="820" spans="1:1">
      <c r="A820" s="20"/>
    </row>
    <row r="821" spans="1:1" ht="16">
      <c r="A821" s="16" t="s">
        <v>765</v>
      </c>
    </row>
    <row r="822" spans="1:1" ht="16">
      <c r="A822" s="17" t="s">
        <v>766</v>
      </c>
    </row>
    <row r="823" spans="1:1" ht="16">
      <c r="A823" s="18" t="s">
        <v>767</v>
      </c>
    </row>
    <row r="824" spans="1:1" ht="16">
      <c r="A824" s="19" t="s">
        <v>768</v>
      </c>
    </row>
    <row r="825" spans="1:1">
      <c r="A825" s="20"/>
    </row>
    <row r="826" spans="1:1" ht="16">
      <c r="A826" s="16" t="s">
        <v>769</v>
      </c>
    </row>
    <row r="827" spans="1:1" ht="16">
      <c r="A827" s="17" t="s">
        <v>770</v>
      </c>
    </row>
    <row r="828" spans="1:1" ht="16">
      <c r="A828" s="18" t="s">
        <v>771</v>
      </c>
    </row>
    <row r="829" spans="1:1" ht="16">
      <c r="A829" s="19" t="s">
        <v>772</v>
      </c>
    </row>
    <row r="830" spans="1:1">
      <c r="A830" s="20"/>
    </row>
    <row r="831" spans="1:1" ht="16">
      <c r="A831" s="16" t="s">
        <v>773</v>
      </c>
    </row>
    <row r="832" spans="1:1" ht="16">
      <c r="A832" s="17" t="s">
        <v>774</v>
      </c>
    </row>
    <row r="833" spans="1:1" ht="16">
      <c r="A833" s="18" t="s">
        <v>775</v>
      </c>
    </row>
    <row r="834" spans="1:1" ht="16">
      <c r="A834" s="19" t="s">
        <v>776</v>
      </c>
    </row>
    <row r="835" spans="1:1">
      <c r="A835" s="20"/>
    </row>
    <row r="836" spans="1:1" ht="16">
      <c r="A836" s="16" t="s">
        <v>560</v>
      </c>
    </row>
    <row r="837" spans="1:1" ht="16">
      <c r="A837" s="17" t="s">
        <v>561</v>
      </c>
    </row>
    <row r="838" spans="1:1" ht="16">
      <c r="A838" s="18" t="s">
        <v>562</v>
      </c>
    </row>
    <row r="839" spans="1:1" ht="16">
      <c r="A839" s="19" t="s">
        <v>777</v>
      </c>
    </row>
    <row r="840" spans="1:1">
      <c r="A840" s="20"/>
    </row>
    <row r="841" spans="1:1" ht="16">
      <c r="A841" s="16" t="s">
        <v>564</v>
      </c>
    </row>
    <row r="842" spans="1:1" ht="16">
      <c r="A842" s="17" t="s">
        <v>565</v>
      </c>
    </row>
    <row r="843" spans="1:1" ht="16">
      <c r="A843" s="18" t="s">
        <v>566</v>
      </c>
    </row>
    <row r="844" spans="1:1" ht="16">
      <c r="A844" s="19" t="s">
        <v>567</v>
      </c>
    </row>
    <row r="845" spans="1:1">
      <c r="A845" s="20"/>
    </row>
    <row r="846" spans="1:1" ht="16">
      <c r="A846" s="16" t="s">
        <v>568</v>
      </c>
    </row>
    <row r="847" spans="1:1" ht="16">
      <c r="A847" s="17" t="s">
        <v>569</v>
      </c>
    </row>
    <row r="848" spans="1:1" ht="16">
      <c r="A848" s="18" t="s">
        <v>570</v>
      </c>
    </row>
    <row r="849" spans="1:1" ht="16">
      <c r="A849" s="19" t="s">
        <v>571</v>
      </c>
    </row>
    <row r="850" spans="1:1">
      <c r="A850" s="20"/>
    </row>
    <row r="851" spans="1:1" ht="16">
      <c r="A851" s="16" t="s">
        <v>778</v>
      </c>
    </row>
    <row r="852" spans="1:1" ht="16">
      <c r="A852" s="17" t="s">
        <v>779</v>
      </c>
    </row>
    <row r="853" spans="1:1" ht="16">
      <c r="A853" s="18" t="s">
        <v>780</v>
      </c>
    </row>
    <row r="854" spans="1:1" ht="16">
      <c r="A854" s="19" t="s">
        <v>781</v>
      </c>
    </row>
    <row r="855" spans="1:1">
      <c r="A855" s="20"/>
    </row>
    <row r="856" spans="1:1" ht="16">
      <c r="A856" s="16" t="s">
        <v>782</v>
      </c>
    </row>
    <row r="857" spans="1:1" ht="16">
      <c r="A857" s="17" t="s">
        <v>783</v>
      </c>
    </row>
    <row r="858" spans="1:1" ht="16">
      <c r="A858" s="18" t="s">
        <v>784</v>
      </c>
    </row>
    <row r="859" spans="1:1" ht="16">
      <c r="A859" s="19" t="s">
        <v>785</v>
      </c>
    </row>
    <row r="860" spans="1:1">
      <c r="A860" s="20"/>
    </row>
    <row r="861" spans="1:1" ht="16">
      <c r="A861" s="16" t="s">
        <v>786</v>
      </c>
    </row>
    <row r="862" spans="1:1" ht="16">
      <c r="A862" s="17" t="s">
        <v>787</v>
      </c>
    </row>
    <row r="863" spans="1:1" ht="16">
      <c r="A863" s="18" t="s">
        <v>788</v>
      </c>
    </row>
    <row r="864" spans="1:1" ht="16">
      <c r="A864" s="19" t="s">
        <v>789</v>
      </c>
    </row>
    <row r="865" spans="1:1">
      <c r="A865" s="20"/>
    </row>
    <row r="866" spans="1:1" ht="16">
      <c r="A866" s="16" t="s">
        <v>790</v>
      </c>
    </row>
    <row r="867" spans="1:1" ht="16">
      <c r="A867" s="17" t="s">
        <v>791</v>
      </c>
    </row>
    <row r="868" spans="1:1" ht="16">
      <c r="A868" s="18" t="s">
        <v>792</v>
      </c>
    </row>
    <row r="869" spans="1:1" ht="16">
      <c r="A869" s="19" t="s">
        <v>793</v>
      </c>
    </row>
    <row r="870" spans="1:1">
      <c r="A870" s="20"/>
    </row>
    <row r="871" spans="1:1" ht="16">
      <c r="A871" s="16" t="s">
        <v>794</v>
      </c>
    </row>
    <row r="872" spans="1:1" ht="16">
      <c r="A872" s="17" t="s">
        <v>795</v>
      </c>
    </row>
    <row r="873" spans="1:1" ht="16">
      <c r="A873" s="18" t="s">
        <v>796</v>
      </c>
    </row>
    <row r="874" spans="1:1" ht="16">
      <c r="A874" s="19" t="s">
        <v>797</v>
      </c>
    </row>
    <row r="875" spans="1:1">
      <c r="A875" s="20"/>
    </row>
    <row r="876" spans="1:1" ht="16">
      <c r="A876" s="16" t="s">
        <v>798</v>
      </c>
    </row>
    <row r="877" spans="1:1" ht="16">
      <c r="A877" s="17" t="s">
        <v>799</v>
      </c>
    </row>
    <row r="878" spans="1:1" ht="16">
      <c r="A878" s="18" t="s">
        <v>800</v>
      </c>
    </row>
    <row r="879" spans="1:1" ht="16">
      <c r="A879" s="19" t="s">
        <v>801</v>
      </c>
    </row>
    <row r="880" spans="1:1">
      <c r="A880" s="20"/>
    </row>
    <row r="881" spans="1:1" ht="16">
      <c r="A881" s="16" t="s">
        <v>802</v>
      </c>
    </row>
    <row r="882" spans="1:1" ht="16">
      <c r="A882" s="17" t="s">
        <v>803</v>
      </c>
    </row>
    <row r="883" spans="1:1" ht="16">
      <c r="A883" s="18" t="s">
        <v>804</v>
      </c>
    </row>
    <row r="884" spans="1:1" ht="16">
      <c r="A884" s="19" t="s">
        <v>805</v>
      </c>
    </row>
    <row r="885" spans="1:1">
      <c r="A885" s="20"/>
    </row>
    <row r="886" spans="1:1" ht="16">
      <c r="A886" s="16" t="s">
        <v>806</v>
      </c>
    </row>
    <row r="887" spans="1:1" ht="16">
      <c r="A887" s="17" t="s">
        <v>807</v>
      </c>
    </row>
    <row r="888" spans="1:1" ht="16">
      <c r="A888" s="18" t="s">
        <v>808</v>
      </c>
    </row>
    <row r="889" spans="1:1" ht="16">
      <c r="A889" s="19" t="s">
        <v>809</v>
      </c>
    </row>
    <row r="890" spans="1:1">
      <c r="A890" s="20"/>
    </row>
    <row r="891" spans="1:1" ht="16">
      <c r="A891" s="16" t="s">
        <v>810</v>
      </c>
    </row>
    <row r="892" spans="1:1" ht="16">
      <c r="A892" s="17" t="s">
        <v>811</v>
      </c>
    </row>
    <row r="893" spans="1:1" ht="16">
      <c r="A893" s="18" t="s">
        <v>812</v>
      </c>
    </row>
    <row r="894" spans="1:1" ht="16">
      <c r="A894" s="19" t="s">
        <v>813</v>
      </c>
    </row>
    <row r="895" spans="1:1">
      <c r="A895" s="20"/>
    </row>
    <row r="896" spans="1:1" ht="16">
      <c r="A896" s="16" t="s">
        <v>814</v>
      </c>
    </row>
    <row r="897" spans="1:1" ht="16">
      <c r="A897" s="17" t="s">
        <v>815</v>
      </c>
    </row>
    <row r="898" spans="1:1" ht="16">
      <c r="A898" s="18" t="s">
        <v>816</v>
      </c>
    </row>
    <row r="899" spans="1:1" ht="16">
      <c r="A899" s="19" t="s">
        <v>817</v>
      </c>
    </row>
    <row r="900" spans="1:1">
      <c r="A900" s="20"/>
    </row>
    <row r="901" spans="1:1" ht="16">
      <c r="A901" s="16" t="s">
        <v>818</v>
      </c>
    </row>
    <row r="902" spans="1:1" ht="16">
      <c r="A902" s="17" t="s">
        <v>819</v>
      </c>
    </row>
    <row r="903" spans="1:1" ht="16">
      <c r="A903" s="18" t="s">
        <v>820</v>
      </c>
    </row>
    <row r="904" spans="1:1" ht="16">
      <c r="A904" s="19" t="s">
        <v>821</v>
      </c>
    </row>
    <row r="905" spans="1:1">
      <c r="A905" s="20"/>
    </row>
    <row r="906" spans="1:1" ht="16">
      <c r="A906" s="16" t="s">
        <v>822</v>
      </c>
    </row>
    <row r="907" spans="1:1" ht="16">
      <c r="A907" s="17" t="s">
        <v>823</v>
      </c>
    </row>
    <row r="908" spans="1:1" ht="16">
      <c r="A908" s="18" t="s">
        <v>824</v>
      </c>
    </row>
    <row r="909" spans="1:1" ht="16">
      <c r="A909" s="19" t="s">
        <v>825</v>
      </c>
    </row>
    <row r="910" spans="1:1">
      <c r="A910" s="20"/>
    </row>
    <row r="911" spans="1:1" ht="16">
      <c r="A911" s="16" t="s">
        <v>826</v>
      </c>
    </row>
    <row r="912" spans="1:1" ht="16">
      <c r="A912" s="17" t="s">
        <v>827</v>
      </c>
    </row>
    <row r="913" spans="1:1" ht="16">
      <c r="A913" s="18" t="s">
        <v>828</v>
      </c>
    </row>
    <row r="914" spans="1:1" ht="16">
      <c r="A914" s="19" t="s">
        <v>829</v>
      </c>
    </row>
    <row r="915" spans="1:1">
      <c r="A915" s="20"/>
    </row>
    <row r="916" spans="1:1" ht="16">
      <c r="A916" s="16" t="s">
        <v>830</v>
      </c>
    </row>
    <row r="917" spans="1:1" ht="16">
      <c r="A917" s="17" t="s">
        <v>831</v>
      </c>
    </row>
    <row r="918" spans="1:1" ht="16">
      <c r="A918" s="18" t="s">
        <v>832</v>
      </c>
    </row>
    <row r="919" spans="1:1" ht="16">
      <c r="A919" s="19" t="s">
        <v>833</v>
      </c>
    </row>
    <row r="920" spans="1:1">
      <c r="A920" s="20"/>
    </row>
    <row r="921" spans="1:1" ht="16">
      <c r="A921" s="16" t="s">
        <v>834</v>
      </c>
    </row>
    <row r="922" spans="1:1" ht="16">
      <c r="A922" s="17" t="s">
        <v>835</v>
      </c>
    </row>
    <row r="923" spans="1:1" ht="16">
      <c r="A923" s="18" t="s">
        <v>836</v>
      </c>
    </row>
    <row r="924" spans="1:1" ht="16">
      <c r="A924" s="19" t="s">
        <v>837</v>
      </c>
    </row>
    <row r="925" spans="1:1">
      <c r="A925" s="20"/>
    </row>
    <row r="926" spans="1:1" ht="16">
      <c r="A926" s="16" t="s">
        <v>838</v>
      </c>
    </row>
    <row r="927" spans="1:1" ht="16">
      <c r="A927" s="17" t="s">
        <v>839</v>
      </c>
    </row>
    <row r="928" spans="1:1" ht="16">
      <c r="A928" s="18" t="s">
        <v>840</v>
      </c>
    </row>
    <row r="929" spans="1:1" ht="16">
      <c r="A929" s="19" t="s">
        <v>841</v>
      </c>
    </row>
    <row r="930" spans="1:1">
      <c r="A930" s="20"/>
    </row>
    <row r="931" spans="1:1" ht="16">
      <c r="A931" s="16" t="s">
        <v>842</v>
      </c>
    </row>
    <row r="932" spans="1:1" ht="16">
      <c r="A932" s="17" t="s">
        <v>843</v>
      </c>
    </row>
    <row r="933" spans="1:1" ht="16">
      <c r="A933" s="18" t="s">
        <v>844</v>
      </c>
    </row>
    <row r="934" spans="1:1" ht="16">
      <c r="A934" s="19" t="s">
        <v>845</v>
      </c>
    </row>
    <row r="935" spans="1:1">
      <c r="A935" s="20"/>
    </row>
    <row r="936" spans="1:1" ht="16">
      <c r="A936" s="16" t="s">
        <v>846</v>
      </c>
    </row>
    <row r="937" spans="1:1" ht="16">
      <c r="A937" s="17" t="s">
        <v>847</v>
      </c>
    </row>
    <row r="938" spans="1:1" ht="16">
      <c r="A938" s="18" t="s">
        <v>848</v>
      </c>
    </row>
    <row r="939" spans="1:1" ht="16">
      <c r="A939" s="19" t="s">
        <v>849</v>
      </c>
    </row>
    <row r="940" spans="1:1">
      <c r="A940" s="20"/>
    </row>
    <row r="941" spans="1:1" ht="16">
      <c r="A941" s="16" t="s">
        <v>850</v>
      </c>
    </row>
    <row r="942" spans="1:1" ht="16">
      <c r="A942" s="17" t="s">
        <v>851</v>
      </c>
    </row>
    <row r="943" spans="1:1" ht="16">
      <c r="A943" s="18" t="s">
        <v>852</v>
      </c>
    </row>
    <row r="944" spans="1:1" ht="16">
      <c r="A944" s="19" t="s">
        <v>853</v>
      </c>
    </row>
    <row r="945" spans="1:1">
      <c r="A945" s="20"/>
    </row>
    <row r="946" spans="1:1" ht="16">
      <c r="A946" s="16" t="s">
        <v>854</v>
      </c>
    </row>
    <row r="947" spans="1:1" ht="16">
      <c r="A947" s="17" t="s">
        <v>855</v>
      </c>
    </row>
    <row r="948" spans="1:1" ht="16">
      <c r="A948" s="18" t="s">
        <v>856</v>
      </c>
    </row>
    <row r="949" spans="1:1" ht="16">
      <c r="A949" s="19" t="s">
        <v>857</v>
      </c>
    </row>
    <row r="950" spans="1:1">
      <c r="A950" s="20"/>
    </row>
    <row r="951" spans="1:1" ht="16">
      <c r="A951" s="16" t="s">
        <v>858</v>
      </c>
    </row>
    <row r="952" spans="1:1" ht="16">
      <c r="A952" s="17" t="s">
        <v>859</v>
      </c>
    </row>
    <row r="953" spans="1:1" ht="16">
      <c r="A953" s="18" t="s">
        <v>860</v>
      </c>
    </row>
    <row r="954" spans="1:1" ht="16">
      <c r="A954" s="19" t="s">
        <v>861</v>
      </c>
    </row>
    <row r="955" spans="1:1">
      <c r="A955" s="20"/>
    </row>
    <row r="956" spans="1:1" ht="16">
      <c r="A956" s="16" t="s">
        <v>862</v>
      </c>
    </row>
    <row r="957" spans="1:1" ht="16">
      <c r="A957" s="17" t="s">
        <v>863</v>
      </c>
    </row>
    <row r="958" spans="1:1" ht="16">
      <c r="A958" s="18" t="s">
        <v>864</v>
      </c>
    </row>
    <row r="959" spans="1:1" ht="16">
      <c r="A959" s="19" t="s">
        <v>865</v>
      </c>
    </row>
    <row r="960" spans="1:1">
      <c r="A960" s="20"/>
    </row>
    <row r="961" spans="1:1" ht="16">
      <c r="A961" s="16" t="s">
        <v>866</v>
      </c>
    </row>
    <row r="962" spans="1:1" ht="16">
      <c r="A962" s="17" t="s">
        <v>867</v>
      </c>
    </row>
    <row r="963" spans="1:1" ht="16">
      <c r="A963" s="18" t="s">
        <v>868</v>
      </c>
    </row>
    <row r="964" spans="1:1" ht="16">
      <c r="A964" s="19" t="s">
        <v>869</v>
      </c>
    </row>
    <row r="965" spans="1:1">
      <c r="A965" s="20"/>
    </row>
    <row r="966" spans="1:1" ht="16">
      <c r="A966" s="16" t="s">
        <v>870</v>
      </c>
    </row>
    <row r="967" spans="1:1" ht="16">
      <c r="A967" s="17" t="s">
        <v>871</v>
      </c>
    </row>
    <row r="968" spans="1:1" ht="16">
      <c r="A968" s="18" t="s">
        <v>872</v>
      </c>
    </row>
    <row r="969" spans="1:1" ht="16">
      <c r="A969" s="19" t="s">
        <v>873</v>
      </c>
    </row>
    <row r="970" spans="1:1">
      <c r="A970" s="20"/>
    </row>
    <row r="971" spans="1:1" ht="16">
      <c r="A971" s="16" t="s">
        <v>874</v>
      </c>
    </row>
    <row r="972" spans="1:1" ht="16">
      <c r="A972" s="17" t="s">
        <v>875</v>
      </c>
    </row>
    <row r="973" spans="1:1" ht="16">
      <c r="A973" s="18" t="s">
        <v>876</v>
      </c>
    </row>
    <row r="974" spans="1:1" ht="16">
      <c r="A974" s="19" t="s">
        <v>877</v>
      </c>
    </row>
    <row r="975" spans="1:1">
      <c r="A975" s="20"/>
    </row>
    <row r="976" spans="1:1" ht="16">
      <c r="A976" s="16" t="s">
        <v>878</v>
      </c>
    </row>
    <row r="977" spans="1:1" ht="16">
      <c r="A977" s="17" t="s">
        <v>879</v>
      </c>
    </row>
    <row r="978" spans="1:1" ht="16">
      <c r="A978" s="18" t="s">
        <v>880</v>
      </c>
    </row>
    <row r="979" spans="1:1" ht="16">
      <c r="A979" s="19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posts</vt:lpstr>
      <vt:lpstr>Sheet2</vt:lpstr>
      <vt:lpstr>Sheet1</vt:lpstr>
      <vt:lpstr>ਗਾਵੈ_ਕੋ_ਵੇਖੈ_ਹਾਦਰਾ_ਹਦੂਰਿ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Singh Jassal</dc:creator>
  <cp:lastModifiedBy>Arjan Singh Jassal</cp:lastModifiedBy>
  <dcterms:created xsi:type="dcterms:W3CDTF">2024-06-29T08:43:41Z</dcterms:created>
  <dcterms:modified xsi:type="dcterms:W3CDTF">2024-07-02T17:07:02Z</dcterms:modified>
</cp:coreProperties>
</file>